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73d04fa371a3996/Área de Trabalho/fpa-financial-planning-analysis/dashboard/"/>
    </mc:Choice>
  </mc:AlternateContent>
  <xr:revisionPtr revIDLastSave="106" documentId="11_746E93A0654B49916E1B8EE40B1A38AE9F43203F" xr6:coauthVersionLast="47" xr6:coauthVersionMax="47" xr10:uidLastSave="{8014DA2F-265D-4241-8367-0940CBDC5F28}"/>
  <bookViews>
    <workbookView xWindow="-120" yWindow="-120" windowWidth="20730" windowHeight="11040" tabRatio="708" xr2:uid="{00000000-000D-0000-FFFF-FFFF00000000}"/>
  </bookViews>
  <sheets>
    <sheet name="Dashboard" sheetId="1" r:id="rId1"/>
    <sheet name="Base_Lancamentos" sheetId="2" r:id="rId2"/>
    <sheet name="Premissas" sheetId="3" r:id="rId3"/>
    <sheet name="Resumo_Mensal" sheetId="4" r:id="rId4"/>
    <sheet name="Premissas_V2" sheetId="5" r:id="rId5"/>
    <sheet name="Orcado_Forecast" sheetId="6" r:id="rId6"/>
    <sheet name="DRE_Gerencial" sheetId="7" r:id="rId7"/>
    <sheet name="Analise_Desvios" sheetId="8" r:id="rId8"/>
    <sheet name="Dashboard_V2" sheetId="9" r:id="rId9"/>
    <sheet name="Centro_Custos" sheetId="10" r:id="rId10"/>
    <sheet name="Headcount" sheetId="11" r:id="rId11"/>
    <sheet name="Cenarios" sheetId="12" r:id="rId12"/>
    <sheet name="Ponte_EBITDA" sheetId="13" r:id="rId13"/>
    <sheet name="Dashboard_V3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4" l="1"/>
  <c r="C34" i="14"/>
  <c r="A34" i="14"/>
  <c r="D33" i="14"/>
  <c r="C33" i="14"/>
  <c r="A33" i="14"/>
  <c r="D32" i="14"/>
  <c r="C32" i="14"/>
  <c r="A32" i="14"/>
  <c r="D31" i="14"/>
  <c r="C31" i="14"/>
  <c r="A31" i="14"/>
  <c r="D30" i="14"/>
  <c r="C30" i="14"/>
  <c r="A30" i="14"/>
  <c r="D29" i="14"/>
  <c r="C29" i="14"/>
  <c r="A29" i="14"/>
  <c r="D28" i="14"/>
  <c r="C28" i="14"/>
  <c r="A28" i="14"/>
  <c r="D27" i="14"/>
  <c r="C27" i="14"/>
  <c r="A27" i="14"/>
  <c r="C22" i="14"/>
  <c r="B22" i="14"/>
  <c r="A22" i="14"/>
  <c r="Q21" i="14"/>
  <c r="P21" i="14"/>
  <c r="O21" i="14"/>
  <c r="M21" i="14"/>
  <c r="L21" i="14"/>
  <c r="K21" i="14"/>
  <c r="J21" i="14"/>
  <c r="C21" i="14"/>
  <c r="B21" i="14"/>
  <c r="A21" i="14"/>
  <c r="Q20" i="14"/>
  <c r="P20" i="14"/>
  <c r="O20" i="14"/>
  <c r="M20" i="14"/>
  <c r="L20" i="14"/>
  <c r="K20" i="14"/>
  <c r="J20" i="14"/>
  <c r="C20" i="14"/>
  <c r="B20" i="14"/>
  <c r="A20" i="14"/>
  <c r="Q19" i="14"/>
  <c r="P19" i="14"/>
  <c r="O19" i="14"/>
  <c r="N19" i="14"/>
  <c r="M19" i="14"/>
  <c r="L19" i="14"/>
  <c r="K19" i="14"/>
  <c r="J19" i="14"/>
  <c r="C19" i="14"/>
  <c r="B19" i="14"/>
  <c r="A19" i="14"/>
  <c r="Q18" i="14"/>
  <c r="P18" i="14"/>
  <c r="O18" i="14"/>
  <c r="M18" i="14"/>
  <c r="L18" i="14"/>
  <c r="K18" i="14"/>
  <c r="J18" i="14"/>
  <c r="C18" i="14"/>
  <c r="B18" i="14"/>
  <c r="A18" i="14"/>
  <c r="Q17" i="14"/>
  <c r="P17" i="14"/>
  <c r="O17" i="14"/>
  <c r="M17" i="14"/>
  <c r="L17" i="14"/>
  <c r="K17" i="14"/>
  <c r="J17" i="14"/>
  <c r="C17" i="14"/>
  <c r="B17" i="14"/>
  <c r="A17" i="14"/>
  <c r="H13" i="14"/>
  <c r="G13" i="14"/>
  <c r="F13" i="14"/>
  <c r="A13" i="14"/>
  <c r="H12" i="14"/>
  <c r="G12" i="14"/>
  <c r="F12" i="14"/>
  <c r="A12" i="14"/>
  <c r="H11" i="14"/>
  <c r="G11" i="14"/>
  <c r="F11" i="14"/>
  <c r="A11" i="14"/>
  <c r="I10" i="11"/>
  <c r="J10" i="11" s="1"/>
  <c r="H10" i="11"/>
  <c r="D10" i="11"/>
  <c r="C10" i="11"/>
  <c r="B10" i="11"/>
  <c r="J8" i="11"/>
  <c r="R21" i="14" s="1"/>
  <c r="E8" i="11"/>
  <c r="N21" i="14" s="1"/>
  <c r="J7" i="11"/>
  <c r="R20" i="14" s="1"/>
  <c r="G7" i="11"/>
  <c r="E7" i="11"/>
  <c r="N20" i="14" s="1"/>
  <c r="J6" i="11"/>
  <c r="R19" i="14" s="1"/>
  <c r="G6" i="11"/>
  <c r="E6" i="11"/>
  <c r="J5" i="11"/>
  <c r="R18" i="14" s="1"/>
  <c r="E5" i="11"/>
  <c r="N18" i="14" s="1"/>
  <c r="J4" i="11"/>
  <c r="R17" i="14" s="1"/>
  <c r="E4" i="11"/>
  <c r="C11" i="10"/>
  <c r="B11" i="10"/>
  <c r="F9" i="10"/>
  <c r="F22" i="14" s="1"/>
  <c r="D9" i="10"/>
  <c r="E9" i="10" s="1"/>
  <c r="E22" i="14" s="1"/>
  <c r="F8" i="10"/>
  <c r="F21" i="14" s="1"/>
  <c r="E8" i="10"/>
  <c r="E21" i="14" s="1"/>
  <c r="D8" i="10"/>
  <c r="D21" i="14" s="1"/>
  <c r="D7" i="10"/>
  <c r="D20" i="14" s="1"/>
  <c r="D6" i="10"/>
  <c r="D5" i="10"/>
  <c r="F4" i="10"/>
  <c r="F17" i="14" s="1"/>
  <c r="E4" i="10"/>
  <c r="E17" i="14" s="1"/>
  <c r="D4" i="10"/>
  <c r="D17" i="14" s="1"/>
  <c r="N23" i="9"/>
  <c r="N22" i="9"/>
  <c r="N21" i="9"/>
  <c r="N20" i="9"/>
  <c r="N19" i="9"/>
  <c r="N18" i="9"/>
  <c r="R14" i="9"/>
  <c r="O14" i="9"/>
  <c r="R13" i="9"/>
  <c r="O13" i="9"/>
  <c r="R12" i="9"/>
  <c r="O12" i="9"/>
  <c r="R11" i="9"/>
  <c r="O11" i="9"/>
  <c r="R10" i="9"/>
  <c r="O10" i="9"/>
  <c r="R9" i="9"/>
  <c r="O9" i="9"/>
  <c r="B9" i="9"/>
  <c r="R8" i="9"/>
  <c r="O8" i="9"/>
  <c r="R7" i="9"/>
  <c r="O7" i="9"/>
  <c r="R6" i="9"/>
  <c r="O6" i="9"/>
  <c r="R5" i="9"/>
  <c r="O5" i="9"/>
  <c r="R4" i="9"/>
  <c r="O4" i="9"/>
  <c r="R3" i="9"/>
  <c r="O3" i="9"/>
  <c r="N11" i="7"/>
  <c r="N10" i="7"/>
  <c r="B8" i="8" s="1"/>
  <c r="N9" i="7"/>
  <c r="N7" i="7"/>
  <c r="B6" i="8" s="1"/>
  <c r="N5" i="7"/>
  <c r="N4" i="7"/>
  <c r="B4" i="8" s="1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F51" i="6" s="1"/>
  <c r="E50" i="6"/>
  <c r="F50" i="6" s="1"/>
  <c r="E49" i="6"/>
  <c r="F49" i="6" s="1"/>
  <c r="E48" i="6"/>
  <c r="F48" i="6" s="1"/>
  <c r="I7" i="7" s="1"/>
  <c r="E47" i="6"/>
  <c r="F47" i="6" s="1"/>
  <c r="E46" i="6"/>
  <c r="F46" i="6" s="1"/>
  <c r="I4" i="7" s="1"/>
  <c r="E45" i="6"/>
  <c r="F45" i="6" s="1"/>
  <c r="E44" i="6"/>
  <c r="F44" i="6" s="1"/>
  <c r="G44" i="6" s="1"/>
  <c r="H44" i="6" s="1"/>
  <c r="E43" i="6"/>
  <c r="F43" i="6" s="1"/>
  <c r="E42" i="6"/>
  <c r="F42" i="6" s="1"/>
  <c r="G42" i="6" s="1"/>
  <c r="H42" i="6" s="1"/>
  <c r="E41" i="6"/>
  <c r="F41" i="6" s="1"/>
  <c r="E40" i="6"/>
  <c r="F40" i="6" s="1"/>
  <c r="G40" i="6" s="1"/>
  <c r="H40" i="6" s="1"/>
  <c r="E39" i="6"/>
  <c r="F39" i="6" s="1"/>
  <c r="E38" i="6"/>
  <c r="F38" i="6" s="1"/>
  <c r="G38" i="6" s="1"/>
  <c r="H38" i="6" s="1"/>
  <c r="E37" i="6"/>
  <c r="F37" i="6" s="1"/>
  <c r="E36" i="6"/>
  <c r="F36" i="6" s="1"/>
  <c r="G36" i="6" s="1"/>
  <c r="H36" i="6" s="1"/>
  <c r="E35" i="6"/>
  <c r="F35" i="6" s="1"/>
  <c r="E34" i="6"/>
  <c r="F34" i="6" s="1"/>
  <c r="G34" i="6" s="1"/>
  <c r="H34" i="6" s="1"/>
  <c r="E33" i="6"/>
  <c r="F33" i="6" s="1"/>
  <c r="E32" i="6"/>
  <c r="F32" i="6" s="1"/>
  <c r="G32" i="6" s="1"/>
  <c r="H32" i="6" s="1"/>
  <c r="E31" i="6"/>
  <c r="F31" i="6" s="1"/>
  <c r="E30" i="6"/>
  <c r="F30" i="6" s="1"/>
  <c r="G30" i="6" s="1"/>
  <c r="H30" i="6" s="1"/>
  <c r="E29" i="6"/>
  <c r="F29" i="6" s="1"/>
  <c r="E28" i="6"/>
  <c r="F28" i="6" s="1"/>
  <c r="G28" i="6" s="1"/>
  <c r="H28" i="6" s="1"/>
  <c r="E27" i="6"/>
  <c r="F27" i="6" s="1"/>
  <c r="E26" i="6"/>
  <c r="F26" i="6" s="1"/>
  <c r="G26" i="6" s="1"/>
  <c r="H26" i="6" s="1"/>
  <c r="E25" i="6"/>
  <c r="F25" i="6" s="1"/>
  <c r="E24" i="6"/>
  <c r="F24" i="6" s="1"/>
  <c r="G24" i="6" s="1"/>
  <c r="H24" i="6" s="1"/>
  <c r="E23" i="6"/>
  <c r="F23" i="6" s="1"/>
  <c r="E22" i="6"/>
  <c r="F22" i="6" s="1"/>
  <c r="G22" i="6" s="1"/>
  <c r="H22" i="6" s="1"/>
  <c r="E21" i="6"/>
  <c r="F21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G8" i="6" s="1"/>
  <c r="H8" i="6" s="1"/>
  <c r="E7" i="6"/>
  <c r="F7" i="6" s="1"/>
  <c r="E6" i="6"/>
  <c r="F6" i="6" s="1"/>
  <c r="G6" i="6" s="1"/>
  <c r="H6" i="6" s="1"/>
  <c r="E5" i="6"/>
  <c r="F5" i="6" s="1"/>
  <c r="F4" i="6"/>
  <c r="G4" i="6" s="1"/>
  <c r="H4" i="6" s="1"/>
  <c r="E4" i="6"/>
  <c r="H11" i="4"/>
  <c r="F11" i="4"/>
  <c r="E11" i="4"/>
  <c r="I11" i="4" s="1"/>
  <c r="D11" i="4"/>
  <c r="O10" i="1" s="1"/>
  <c r="F10" i="4"/>
  <c r="E10" i="4"/>
  <c r="P9" i="1" s="1"/>
  <c r="D10" i="4"/>
  <c r="O9" i="1" s="1"/>
  <c r="F9" i="4"/>
  <c r="E9" i="4"/>
  <c r="P8" i="1" s="1"/>
  <c r="D9" i="4"/>
  <c r="H9" i="4" s="1"/>
  <c r="F8" i="4"/>
  <c r="E8" i="4"/>
  <c r="P7" i="1" s="1"/>
  <c r="D8" i="4"/>
  <c r="O7" i="1" s="1"/>
  <c r="F7" i="4"/>
  <c r="E7" i="4"/>
  <c r="P6" i="1" s="1"/>
  <c r="D7" i="4"/>
  <c r="H7" i="4" s="1"/>
  <c r="E6" i="4"/>
  <c r="I6" i="4" s="1"/>
  <c r="D6" i="4"/>
  <c r="H6" i="4" s="1"/>
  <c r="E5" i="4"/>
  <c r="I5" i="4" s="1"/>
  <c r="D5" i="4"/>
  <c r="E4" i="4"/>
  <c r="I4" i="4" s="1"/>
  <c r="D4" i="4"/>
  <c r="C4" i="4"/>
  <c r="F10" i="3"/>
  <c r="E10" i="3"/>
  <c r="G42" i="1"/>
  <c r="P10" i="1"/>
  <c r="O8" i="1"/>
  <c r="O6" i="1"/>
  <c r="A6" i="1"/>
  <c r="P5" i="1"/>
  <c r="P4" i="1"/>
  <c r="P3" i="1"/>
  <c r="O3" i="1"/>
  <c r="F11" i="7" l="1"/>
  <c r="G33" i="6"/>
  <c r="H33" i="6" s="1"/>
  <c r="H4" i="4"/>
  <c r="F6" i="4"/>
  <c r="H5" i="7"/>
  <c r="G41" i="6"/>
  <c r="H41" i="6" s="1"/>
  <c r="C5" i="7"/>
  <c r="G11" i="6"/>
  <c r="H11" i="6" s="1"/>
  <c r="D9" i="7"/>
  <c r="G19" i="6"/>
  <c r="H19" i="6" s="1"/>
  <c r="G27" i="6"/>
  <c r="H27" i="6" s="1"/>
  <c r="E11" i="7"/>
  <c r="G5" i="7"/>
  <c r="G35" i="6"/>
  <c r="H35" i="6" s="1"/>
  <c r="G43" i="6"/>
  <c r="H43" i="6" s="1"/>
  <c r="H9" i="7"/>
  <c r="F57" i="6"/>
  <c r="G51" i="6"/>
  <c r="H51" i="6" s="1"/>
  <c r="I11" i="7"/>
  <c r="F4" i="4"/>
  <c r="E9" i="7"/>
  <c r="G25" i="6"/>
  <c r="H25" i="6" s="1"/>
  <c r="O4" i="1"/>
  <c r="H5" i="4"/>
  <c r="B5" i="7"/>
  <c r="G5" i="6"/>
  <c r="H5" i="6" s="1"/>
  <c r="C9" i="7"/>
  <c r="G13" i="6"/>
  <c r="H13" i="6" s="1"/>
  <c r="D11" i="7"/>
  <c r="G21" i="6"/>
  <c r="H21" i="6" s="1"/>
  <c r="F5" i="7"/>
  <c r="G29" i="6"/>
  <c r="H29" i="6" s="1"/>
  <c r="G9" i="7"/>
  <c r="G37" i="6"/>
  <c r="H37" i="6" s="1"/>
  <c r="G45" i="6"/>
  <c r="H45" i="6" s="1"/>
  <c r="H11" i="7"/>
  <c r="B11" i="7"/>
  <c r="G9" i="6"/>
  <c r="H9" i="6" s="1"/>
  <c r="I6" i="7"/>
  <c r="I9" i="7"/>
  <c r="F55" i="6"/>
  <c r="G49" i="6"/>
  <c r="H49" i="6" s="1"/>
  <c r="O5" i="1"/>
  <c r="F5" i="4"/>
  <c r="B9" i="7"/>
  <c r="G7" i="6"/>
  <c r="H7" i="6" s="1"/>
  <c r="C11" i="7"/>
  <c r="G15" i="6"/>
  <c r="H15" i="6" s="1"/>
  <c r="E5" i="7"/>
  <c r="G23" i="6"/>
  <c r="H23" i="6" s="1"/>
  <c r="F9" i="7"/>
  <c r="G31" i="6"/>
  <c r="H31" i="6" s="1"/>
  <c r="G11" i="7"/>
  <c r="G39" i="6"/>
  <c r="H39" i="6" s="1"/>
  <c r="F53" i="6"/>
  <c r="G47" i="6"/>
  <c r="H47" i="6" s="1"/>
  <c r="I5" i="7"/>
  <c r="D5" i="7"/>
  <c r="G17" i="6"/>
  <c r="H17" i="6" s="1"/>
  <c r="G12" i="6"/>
  <c r="H12" i="6" s="1"/>
  <c r="C7" i="7"/>
  <c r="D10" i="7"/>
  <c r="G20" i="6"/>
  <c r="H20" i="6" s="1"/>
  <c r="B4" i="7"/>
  <c r="N6" i="7"/>
  <c r="H7" i="7"/>
  <c r="B10" i="7"/>
  <c r="B5" i="8"/>
  <c r="I7" i="4"/>
  <c r="I8" i="4"/>
  <c r="I9" i="4"/>
  <c r="I10" i="4"/>
  <c r="E4" i="7"/>
  <c r="E6" i="7" s="1"/>
  <c r="E10" i="7"/>
  <c r="B7" i="8"/>
  <c r="B9" i="8"/>
  <c r="E7" i="10"/>
  <c r="E20" i="14" s="1"/>
  <c r="D11" i="10"/>
  <c r="E11" i="10" s="1"/>
  <c r="H8" i="4"/>
  <c r="H10" i="4"/>
  <c r="D7" i="7"/>
  <c r="G18" i="6"/>
  <c r="H18" i="6" s="1"/>
  <c r="G50" i="6"/>
  <c r="H50" i="6" s="1"/>
  <c r="F56" i="6"/>
  <c r="F4" i="7"/>
  <c r="F6" i="7" s="1"/>
  <c r="F10" i="7"/>
  <c r="F7" i="10"/>
  <c r="F20" i="14" s="1"/>
  <c r="G10" i="6"/>
  <c r="H10" i="6" s="1"/>
  <c r="C4" i="7"/>
  <c r="C6" i="7" s="1"/>
  <c r="G4" i="7"/>
  <c r="G10" i="7"/>
  <c r="E10" i="11"/>
  <c r="G4" i="11"/>
  <c r="G10" i="11" s="1"/>
  <c r="N17" i="14"/>
  <c r="D12" i="4"/>
  <c r="G48" i="6"/>
  <c r="H48" i="6" s="1"/>
  <c r="F54" i="6"/>
  <c r="H4" i="7"/>
  <c r="H6" i="7" s="1"/>
  <c r="B7" i="7"/>
  <c r="H10" i="7"/>
  <c r="D4" i="7"/>
  <c r="D6" i="7" s="1"/>
  <c r="G16" i="6"/>
  <c r="H16" i="6" s="1"/>
  <c r="E12" i="4"/>
  <c r="E7" i="7"/>
  <c r="I10" i="7"/>
  <c r="E5" i="10"/>
  <c r="E18" i="14" s="1"/>
  <c r="D18" i="14"/>
  <c r="G14" i="6"/>
  <c r="H14" i="6" s="1"/>
  <c r="C10" i="7"/>
  <c r="F7" i="7"/>
  <c r="F5" i="10"/>
  <c r="F18" i="14" s="1"/>
  <c r="G5" i="11"/>
  <c r="G46" i="6"/>
  <c r="H46" i="6" s="1"/>
  <c r="F52" i="6"/>
  <c r="G7" i="7"/>
  <c r="F6" i="10"/>
  <c r="F19" i="14" s="1"/>
  <c r="E6" i="10"/>
  <c r="E19" i="14" s="1"/>
  <c r="D19" i="14"/>
  <c r="G8" i="11"/>
  <c r="D22" i="14"/>
  <c r="F59" i="6" l="1"/>
  <c r="G53" i="6"/>
  <c r="H53" i="6" s="1"/>
  <c r="J5" i="7"/>
  <c r="D8" i="7"/>
  <c r="D12" i="7" s="1"/>
  <c r="Q5" i="9" s="1"/>
  <c r="S5" i="9" s="1"/>
  <c r="P5" i="9"/>
  <c r="P10" i="9"/>
  <c r="I13" i="7"/>
  <c r="I8" i="7"/>
  <c r="I12" i="7" s="1"/>
  <c r="Q10" i="9" s="1"/>
  <c r="S10" i="9" s="1"/>
  <c r="G4" i="4"/>
  <c r="C13" i="7"/>
  <c r="C8" i="7"/>
  <c r="C12" i="7" s="1"/>
  <c r="Q4" i="9" s="1"/>
  <c r="S4" i="9" s="1"/>
  <c r="P4" i="9"/>
  <c r="P6" i="9"/>
  <c r="E8" i="7"/>
  <c r="E12" i="7" s="1"/>
  <c r="Q6" i="9" s="1"/>
  <c r="S6" i="9" s="1"/>
  <c r="N8" i="7"/>
  <c r="G52" i="6"/>
  <c r="H52" i="6" s="1"/>
  <c r="F58" i="6"/>
  <c r="J4" i="7"/>
  <c r="J6" i="7" s="1"/>
  <c r="B6" i="7"/>
  <c r="F13" i="7"/>
  <c r="P7" i="9"/>
  <c r="F8" i="7"/>
  <c r="F12" i="7" s="1"/>
  <c r="Q7" i="9" s="1"/>
  <c r="S7" i="9" s="1"/>
  <c r="J11" i="7"/>
  <c r="F63" i="6"/>
  <c r="G57" i="6"/>
  <c r="H57" i="6" s="1"/>
  <c r="P9" i="9"/>
  <c r="H8" i="7"/>
  <c r="H12" i="7" s="1"/>
  <c r="Q9" i="9" s="1"/>
  <c r="S9" i="9" s="1"/>
  <c r="G56" i="6"/>
  <c r="H56" i="6" s="1"/>
  <c r="F62" i="6"/>
  <c r="J10" i="7"/>
  <c r="G54" i="6"/>
  <c r="H54" i="6" s="1"/>
  <c r="F60" i="6"/>
  <c r="J7" i="7"/>
  <c r="H12" i="4"/>
  <c r="F12" i="4"/>
  <c r="D13" i="4"/>
  <c r="O11" i="1"/>
  <c r="E13" i="4"/>
  <c r="I12" i="4"/>
  <c r="P11" i="1"/>
  <c r="G6" i="7"/>
  <c r="F61" i="6"/>
  <c r="J9" i="7"/>
  <c r="G55" i="6"/>
  <c r="H55" i="6" s="1"/>
  <c r="K9" i="7" l="1"/>
  <c r="F67" i="6"/>
  <c r="G61" i="6"/>
  <c r="H61" i="6" s="1"/>
  <c r="P3" i="9"/>
  <c r="B8" i="7"/>
  <c r="B12" i="7" s="1"/>
  <c r="Q3" i="9" s="1"/>
  <c r="S3" i="9" s="1"/>
  <c r="D13" i="7"/>
  <c r="E13" i="7"/>
  <c r="H13" i="7"/>
  <c r="O12" i="1"/>
  <c r="H13" i="4"/>
  <c r="F13" i="4"/>
  <c r="D14" i="4"/>
  <c r="P8" i="9"/>
  <c r="G13" i="7"/>
  <c r="G8" i="7"/>
  <c r="G12" i="7" s="1"/>
  <c r="Q8" i="9" s="1"/>
  <c r="S8" i="9" s="1"/>
  <c r="K11" i="7"/>
  <c r="F69" i="6"/>
  <c r="G63" i="6"/>
  <c r="H63" i="6" s="1"/>
  <c r="J8" i="7"/>
  <c r="J12" i="7" s="1"/>
  <c r="Q11" i="9" s="1"/>
  <c r="S11" i="9" s="1"/>
  <c r="P11" i="9"/>
  <c r="O27" i="9"/>
  <c r="C5" i="4"/>
  <c r="G5" i="4" s="1"/>
  <c r="Q3" i="1"/>
  <c r="J4" i="4"/>
  <c r="K5" i="7"/>
  <c r="F65" i="6"/>
  <c r="G59" i="6"/>
  <c r="H59" i="6" s="1"/>
  <c r="G60" i="6"/>
  <c r="H60" i="6" s="1"/>
  <c r="K7" i="7"/>
  <c r="F66" i="6"/>
  <c r="G58" i="6"/>
  <c r="H58" i="6" s="1"/>
  <c r="K4" i="7"/>
  <c r="K6" i="7" s="1"/>
  <c r="F64" i="6"/>
  <c r="E14" i="4"/>
  <c r="I13" i="4"/>
  <c r="P12" i="1"/>
  <c r="G62" i="6"/>
  <c r="H62" i="6" s="1"/>
  <c r="K10" i="7"/>
  <c r="F68" i="6"/>
  <c r="N12" i="7"/>
  <c r="L10" i="7" l="1"/>
  <c r="G68" i="6"/>
  <c r="H68" i="6" s="1"/>
  <c r="F74" i="6"/>
  <c r="O10" i="7"/>
  <c r="B4" i="13"/>
  <c r="B27" i="14" s="1"/>
  <c r="N13" i="7"/>
  <c r="L5" i="7"/>
  <c r="F71" i="6"/>
  <c r="G65" i="6"/>
  <c r="H65" i="6" s="1"/>
  <c r="O5" i="7"/>
  <c r="E15" i="4"/>
  <c r="I14" i="4"/>
  <c r="P13" i="1"/>
  <c r="H14" i="4"/>
  <c r="F14" i="4"/>
  <c r="O13" i="1"/>
  <c r="D15" i="4"/>
  <c r="P12" i="9"/>
  <c r="K13" i="7"/>
  <c r="K8" i="7"/>
  <c r="K12" i="7" s="1"/>
  <c r="Q12" i="9" s="1"/>
  <c r="S12" i="9" s="1"/>
  <c r="R3" i="1"/>
  <c r="P27" i="9"/>
  <c r="L11" i="7"/>
  <c r="F75" i="6"/>
  <c r="G69" i="6"/>
  <c r="H69" i="6" s="1"/>
  <c r="L4" i="7"/>
  <c r="L6" i="7" s="1"/>
  <c r="G64" i="6"/>
  <c r="H64" i="6" s="1"/>
  <c r="F70" i="6"/>
  <c r="J13" i="7"/>
  <c r="B13" i="7"/>
  <c r="L7" i="7"/>
  <c r="G66" i="6"/>
  <c r="H66" i="6" s="1"/>
  <c r="F72" i="6"/>
  <c r="O28" i="9"/>
  <c r="C6" i="4"/>
  <c r="G6" i="4" s="1"/>
  <c r="Q4" i="1"/>
  <c r="J5" i="4"/>
  <c r="L9" i="7"/>
  <c r="F73" i="6"/>
  <c r="G67" i="6"/>
  <c r="H67" i="6" s="1"/>
  <c r="I15" i="4" l="1"/>
  <c r="P14" i="1"/>
  <c r="C8" i="8"/>
  <c r="D8" i="8" s="1"/>
  <c r="P10" i="7"/>
  <c r="L8" i="7"/>
  <c r="L12" i="7" s="1"/>
  <c r="Q13" i="9" s="1"/>
  <c r="S13" i="9" s="1"/>
  <c r="P13" i="9"/>
  <c r="G37" i="1"/>
  <c r="M5" i="7"/>
  <c r="G71" i="6"/>
  <c r="H71" i="6" s="1"/>
  <c r="G74" i="6"/>
  <c r="H74" i="6" s="1"/>
  <c r="M10" i="7"/>
  <c r="G72" i="6"/>
  <c r="H72" i="6" s="1"/>
  <c r="M7" i="7"/>
  <c r="O7" i="7"/>
  <c r="O14" i="1"/>
  <c r="H15" i="4"/>
  <c r="F15" i="4"/>
  <c r="G75" i="6"/>
  <c r="H75" i="6" s="1"/>
  <c r="M11" i="7"/>
  <c r="O11" i="7"/>
  <c r="P5" i="7"/>
  <c r="C5" i="8"/>
  <c r="D5" i="8" s="1"/>
  <c r="C6" i="1"/>
  <c r="P28" i="9"/>
  <c r="R4" i="1"/>
  <c r="M9" i="7"/>
  <c r="G73" i="6"/>
  <c r="H73" i="6" s="1"/>
  <c r="O9" i="7"/>
  <c r="O29" i="9"/>
  <c r="C7" i="4"/>
  <c r="G7" i="4" s="1"/>
  <c r="Q5" i="1"/>
  <c r="J6" i="4"/>
  <c r="G70" i="6"/>
  <c r="H70" i="6" s="1"/>
  <c r="M4" i="7"/>
  <c r="O4" i="7"/>
  <c r="E6" i="1"/>
  <c r="P7" i="7" l="1"/>
  <c r="C6" i="8"/>
  <c r="D6" i="8" s="1"/>
  <c r="C7" i="8"/>
  <c r="D7" i="8" s="1"/>
  <c r="P9" i="7"/>
  <c r="L13" i="7"/>
  <c r="O30" i="9"/>
  <c r="C8" i="4"/>
  <c r="G8" i="4" s="1"/>
  <c r="Q6" i="1"/>
  <c r="J7" i="4"/>
  <c r="P11" i="7"/>
  <c r="C9" i="8"/>
  <c r="D9" i="8" s="1"/>
  <c r="B9" i="13"/>
  <c r="B32" i="14" s="1"/>
  <c r="Q10" i="7"/>
  <c r="C4" i="8"/>
  <c r="D4" i="8" s="1"/>
  <c r="P4" i="7"/>
  <c r="O6" i="7"/>
  <c r="R5" i="1"/>
  <c r="P29" i="9"/>
  <c r="G33" i="1"/>
  <c r="G36" i="1"/>
  <c r="G8" i="8"/>
  <c r="O22" i="9"/>
  <c r="F8" i="8"/>
  <c r="E8" i="8"/>
  <c r="G5" i="8"/>
  <c r="F5" i="8"/>
  <c r="O19" i="9"/>
  <c r="E5" i="8"/>
  <c r="B6" i="13"/>
  <c r="B29" i="14" s="1"/>
  <c r="Q5" i="7"/>
  <c r="M6" i="7"/>
  <c r="B5" i="13" l="1"/>
  <c r="B28" i="14" s="1"/>
  <c r="Q4" i="7"/>
  <c r="O31" i="9"/>
  <c r="C9" i="4"/>
  <c r="G9" i="4" s="1"/>
  <c r="Q7" i="1"/>
  <c r="J8" i="4"/>
  <c r="M8" i="7"/>
  <c r="M12" i="7" s="1"/>
  <c r="Q14" i="9" s="1"/>
  <c r="S14" i="9" s="1"/>
  <c r="P14" i="9"/>
  <c r="E5" i="12"/>
  <c r="A5" i="14"/>
  <c r="E6" i="12"/>
  <c r="E4" i="12"/>
  <c r="A5" i="9"/>
  <c r="P6" i="7"/>
  <c r="Q6" i="7" s="1"/>
  <c r="O8" i="7"/>
  <c r="B8" i="13"/>
  <c r="B31" i="14" s="1"/>
  <c r="Q9" i="7"/>
  <c r="G9" i="8"/>
  <c r="F9" i="8"/>
  <c r="O23" i="9"/>
  <c r="E9" i="8"/>
  <c r="O21" i="9"/>
  <c r="G7" i="8"/>
  <c r="F7" i="8"/>
  <c r="E7" i="8"/>
  <c r="F6" i="8"/>
  <c r="G6" i="8"/>
  <c r="O20" i="9"/>
  <c r="E6" i="8"/>
  <c r="H8" i="8"/>
  <c r="P22" i="9"/>
  <c r="O18" i="9"/>
  <c r="G4" i="8"/>
  <c r="F4" i="8"/>
  <c r="E4" i="8"/>
  <c r="H5" i="8"/>
  <c r="P19" i="9"/>
  <c r="B10" i="13"/>
  <c r="B33" i="14" s="1"/>
  <c r="Q11" i="7"/>
  <c r="P30" i="9"/>
  <c r="R6" i="1"/>
  <c r="B7" i="13"/>
  <c r="B30" i="14" s="1"/>
  <c r="Q7" i="7"/>
  <c r="R7" i="1" l="1"/>
  <c r="P31" i="9"/>
  <c r="P18" i="9"/>
  <c r="H4" i="8"/>
  <c r="E9" i="12"/>
  <c r="B11" i="14"/>
  <c r="P20" i="9"/>
  <c r="H6" i="8"/>
  <c r="P23" i="9"/>
  <c r="H9" i="8"/>
  <c r="E11" i="12"/>
  <c r="B13" i="14"/>
  <c r="C10" i="4"/>
  <c r="G10" i="4" s="1"/>
  <c r="O32" i="9"/>
  <c r="Q8" i="1"/>
  <c r="J9" i="4"/>
  <c r="P21" i="9"/>
  <c r="H7" i="8"/>
  <c r="E10" i="12"/>
  <c r="B12" i="14"/>
  <c r="P8" i="7"/>
  <c r="Q8" i="7" s="1"/>
  <c r="O12" i="7"/>
  <c r="M13" i="7"/>
  <c r="O33" i="9" l="1"/>
  <c r="C11" i="4"/>
  <c r="G11" i="4" s="1"/>
  <c r="Q9" i="1"/>
  <c r="J10" i="4"/>
  <c r="P32" i="9"/>
  <c r="R8" i="1"/>
  <c r="F5" i="14"/>
  <c r="F6" i="12"/>
  <c r="F4" i="12"/>
  <c r="B11" i="13"/>
  <c r="B34" i="14" s="1"/>
  <c r="P12" i="7"/>
  <c r="F5" i="12"/>
  <c r="C5" i="9"/>
  <c r="O13" i="7"/>
  <c r="F10" i="12" l="1"/>
  <c r="C12" i="14"/>
  <c r="G5" i="12"/>
  <c r="H5" i="12"/>
  <c r="B11" i="9"/>
  <c r="K5" i="14"/>
  <c r="E5" i="9"/>
  <c r="P13" i="7"/>
  <c r="Q13" i="7" s="1"/>
  <c r="B10" i="9"/>
  <c r="O34" i="9"/>
  <c r="C12" i="4"/>
  <c r="G12" i="4" s="1"/>
  <c r="Q10" i="1"/>
  <c r="J11" i="4"/>
  <c r="G6" i="12"/>
  <c r="C13" i="14"/>
  <c r="F11" i="12"/>
  <c r="H6" i="12"/>
  <c r="R9" i="1"/>
  <c r="P33" i="9"/>
  <c r="G5" i="9"/>
  <c r="Q12" i="7"/>
  <c r="G4" i="12"/>
  <c r="C11" i="14"/>
  <c r="F9" i="12"/>
  <c r="H4" i="12"/>
  <c r="H10" i="12" l="1"/>
  <c r="E12" i="14"/>
  <c r="D13" i="14"/>
  <c r="G11" i="12"/>
  <c r="G10" i="12"/>
  <c r="D12" i="14"/>
  <c r="D11" i="14"/>
  <c r="G9" i="12"/>
  <c r="P34" i="9"/>
  <c r="R10" i="1"/>
  <c r="O35" i="9"/>
  <c r="Q11" i="1"/>
  <c r="C13" i="4"/>
  <c r="G13" i="4" s="1"/>
  <c r="J12" i="4"/>
  <c r="E11" i="14"/>
  <c r="H9" i="12"/>
  <c r="E13" i="14"/>
  <c r="H11" i="12"/>
  <c r="P35" i="9" l="1"/>
  <c r="R11" i="1"/>
  <c r="O36" i="9"/>
  <c r="Q12" i="1"/>
  <c r="C14" i="4"/>
  <c r="G14" i="4" s="1"/>
  <c r="J13" i="4"/>
  <c r="P36" i="9" l="1"/>
  <c r="R12" i="1"/>
  <c r="O37" i="9"/>
  <c r="Q13" i="1"/>
  <c r="C15" i="4"/>
  <c r="G15" i="4" s="1"/>
  <c r="J14" i="4"/>
  <c r="G6" i="1" l="1"/>
  <c r="Q14" i="1"/>
  <c r="O38" i="9"/>
  <c r="I5" i="9"/>
  <c r="K6" i="1"/>
  <c r="G45" i="1" s="1"/>
  <c r="J15" i="4"/>
  <c r="P37" i="9"/>
  <c r="R13" i="1"/>
  <c r="P5" i="14" l="1"/>
  <c r="P38" i="9"/>
  <c r="K5" i="9"/>
  <c r="R14" i="1"/>
  <c r="B12" i="9"/>
  <c r="G39" i="1"/>
  <c r="I6" i="1"/>
  <c r="A10" i="1" s="1"/>
</calcChain>
</file>

<file path=xl/sharedStrings.xml><?xml version="1.0" encoding="utf-8"?>
<sst xmlns="http://schemas.openxmlformats.org/spreadsheetml/2006/main" count="735" uniqueCount="240">
  <si>
    <t>DASHBOARD DE FLUXO DE CAIXA &amp; LIQUIDEZ</t>
  </si>
  <si>
    <t>Mês</t>
  </si>
  <si>
    <t>Entradas</t>
  </si>
  <si>
    <t>Saídas</t>
  </si>
  <si>
    <t>Saldo</t>
  </si>
  <si>
    <t>Liquidez</t>
  </si>
  <si>
    <t>Visão gerencial | Realizado Jan–Ago/2026 + Projeção Set–Dez/2026</t>
  </si>
  <si>
    <t>Jan</t>
  </si>
  <si>
    <t>Fev</t>
  </si>
  <si>
    <t>Saldo Inicial (R$)</t>
  </si>
  <si>
    <t>Entradas 2026 (R$)</t>
  </si>
  <si>
    <t>Saídas 2026 (R$)</t>
  </si>
  <si>
    <t>Saldo Final (R$)</t>
  </si>
  <si>
    <t>Liquidez Dez/26</t>
  </si>
  <si>
    <t>Cobertura de Caixa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</si>
  <si>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</si>
  <si>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</si>
  <si>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</si>
  <si>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</si>
  <si>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</si>
  <si>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</si>
  <si>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</si>
  <si>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</si>
  <si>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</si>
  <si>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</si>
  <si>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LEITURA GERENCIAL</t>
  </si>
  <si>
    <t>• Resultado acumulado de 2026:</t>
  </si>
  <si>
    <t>• Melhor mês em geração de caixa:</t>
  </si>
  <si>
    <t>• Liquidez projetada em dez/26:</t>
  </si>
  <si>
    <t>• Cenário de projeção selecionado:</t>
  </si>
  <si>
    <t>• Caixa cobre aproximadamente:</t>
  </si>
  <si>
    <t>BASE DE LANÇAMENTOS — REALIZADO</t>
  </si>
  <si>
    <t>Data</t>
  </si>
  <si>
    <t>Tipo</t>
  </si>
  <si>
    <t>Categoria</t>
  </si>
  <si>
    <t>Descrição</t>
  </si>
  <si>
    <t>Valor (R$)</t>
  </si>
  <si>
    <t>Status</t>
  </si>
  <si>
    <t>Observação</t>
  </si>
  <si>
    <t>Entrada</t>
  </si>
  <si>
    <t>Receita Operacional</t>
  </si>
  <si>
    <t>Recebimentos de clientes</t>
  </si>
  <si>
    <t>Realizado</t>
  </si>
  <si>
    <t>Contratos recorrentes</t>
  </si>
  <si>
    <t>Outras Receitas</t>
  </si>
  <si>
    <t>Outras entradas</t>
  </si>
  <si>
    <t>Saída</t>
  </si>
  <si>
    <t>Pessoal</t>
  </si>
  <si>
    <t>Folha e encargos</t>
  </si>
  <si>
    <t>Fornecedores</t>
  </si>
  <si>
    <t>Pagamentos a fornecedores</t>
  </si>
  <si>
    <t>Tributos</t>
  </si>
  <si>
    <t>Impostos e taxas</t>
  </si>
  <si>
    <t>Despesas Operacionais</t>
  </si>
  <si>
    <t>Outras despesas operacionais</t>
  </si>
  <si>
    <t>PREMISSAS E CENÁRIOS</t>
  </si>
  <si>
    <t>Premissa</t>
  </si>
  <si>
    <t>Valor</t>
  </si>
  <si>
    <t>Cenário</t>
  </si>
  <si>
    <t>Saldo inicial de caixa (R$)</t>
  </si>
  <si>
    <t>Conservador</t>
  </si>
  <si>
    <t>Crescimento mensal das entradas</t>
  </si>
  <si>
    <t>Base</t>
  </si>
  <si>
    <t>Crescimento mensal das saídas</t>
  </si>
  <si>
    <t>Otimista</t>
  </si>
  <si>
    <t>Contas a receber (% entradas)</t>
  </si>
  <si>
    <t>Cenário selecionado</t>
  </si>
  <si>
    <t>Contas a pagar (% saídas)</t>
  </si>
  <si>
    <t>Liquidez mínima desejada</t>
  </si>
  <si>
    <t>Ajuste selecionado</t>
  </si>
  <si>
    <t>Como usar</t>
  </si>
  <si>
    <t>1.</t>
  </si>
  <si>
    <t>Altere as premissas amarelas para testar o modelo.</t>
  </si>
  <si>
    <t>2.</t>
  </si>
  <si>
    <t>Escolha um cenário no campo 'Cenário selecionado'.</t>
  </si>
  <si>
    <t>3.</t>
  </si>
  <si>
    <t>O Dashboard e o Resumo Mensal serão atualizados automaticamente.</t>
  </si>
  <si>
    <t>RESUMO MENSAL DE FLUXO DE CAIXA E LIQUIDEZ</t>
  </si>
  <si>
    <t>Entradas (R$)</t>
  </si>
  <si>
    <t>Saídas (R$)</t>
  </si>
  <si>
    <t>Resultado (R$)</t>
  </si>
  <si>
    <t>Saldo Acumulado (R$)</t>
  </si>
  <si>
    <t>Contas a Receber (R$)</t>
  </si>
  <si>
    <t>Contas a Pagar (R$)</t>
  </si>
  <si>
    <t>Projetado</t>
  </si>
  <si>
    <t>PREMISSAS — MODELO FP&amp;A V2</t>
  </si>
  <si>
    <t>Uso no modelo</t>
  </si>
  <si>
    <t>Mês de fechamento realizado</t>
  </si>
  <si>
    <t>Jan–Ago = realizado; Set–Dez = forecast</t>
  </si>
  <si>
    <t>Crescimento Receita Operacional</t>
  </si>
  <si>
    <t>Forecast mensal após agosto</t>
  </si>
  <si>
    <t>Crescimento Outras Receitas</t>
  </si>
  <si>
    <t>Crescimento Fornecedores</t>
  </si>
  <si>
    <t>Crescimento Pessoal</t>
  </si>
  <si>
    <t>Crescimento Tributos</t>
  </si>
  <si>
    <t>Crescimento Desp. Operacionais</t>
  </si>
  <si>
    <t>Meta Margem EBITDA</t>
  </si>
  <si>
    <t>Indicador gerencial</t>
  </si>
  <si>
    <t>Meta Liquidez</t>
  </si>
  <si>
    <t>Indicador de caixa</t>
  </si>
  <si>
    <t>Convenção: células amarelas/azuis = premissas editáveis. O forecast e os painéis são recalculados automaticamente.</t>
  </si>
  <si>
    <t>ORÇADO x REALIZADO x FORECAST — BASE MENSAL</t>
  </si>
  <si>
    <t>Orçado (R$)</t>
  </si>
  <si>
    <t>Realizado (R$)</t>
  </si>
  <si>
    <t>Forecast (R$)</t>
  </si>
  <si>
    <t>Var Fct x Orç (R$)</t>
  </si>
  <si>
    <t>Var Fct x Orç (%)</t>
  </si>
  <si>
    <t>Receita</t>
  </si>
  <si>
    <t>Despesa</t>
  </si>
  <si>
    <t>DRE GERENCIAL — ORÇADO, REALIZADO E FORECAST 2026</t>
  </si>
  <si>
    <t>Linha DRE</t>
  </si>
  <si>
    <t>Orçado FY</t>
  </si>
  <si>
    <t>Forecast FY</t>
  </si>
  <si>
    <t>Var. R$</t>
  </si>
  <si>
    <t>Var. %</t>
  </si>
  <si>
    <t>Receita Total</t>
  </si>
  <si>
    <t>(-) Fornecedores / Custos Diretos</t>
  </si>
  <si>
    <t>Margem Bruta</t>
  </si>
  <si>
    <t>(-) Pessoal</t>
  </si>
  <si>
    <t>(-) Tributos</t>
  </si>
  <si>
    <t>(-) Despesas Operacionais</t>
  </si>
  <si>
    <t>EBITDA Gerencial</t>
  </si>
  <si>
    <t>Margem EBITDA</t>
  </si>
  <si>
    <t>ANÁLISE DE DESVIOS — FORECAST x ORÇADO</t>
  </si>
  <si>
    <t>Orçado FY (R$)</t>
  </si>
  <si>
    <t>Forecast FY (R$)</t>
  </si>
  <si>
    <t>Desvio (R$)</t>
  </si>
  <si>
    <t>Desvio (%)</t>
  </si>
  <si>
    <t>Impacto</t>
  </si>
  <si>
    <t>Comentário gerencial</t>
  </si>
  <si>
    <t>Prioridade</t>
  </si>
  <si>
    <t>FP&amp;A PERFORMANCE DASHBOARD | 2026</t>
  </si>
  <si>
    <t>Orçado x Realizado x Forecast | DRE gerencial, desvios, caixa e liquidez</t>
  </si>
  <si>
    <t>Receita Orçada</t>
  </si>
  <si>
    <t>Receita Forecast</t>
  </si>
  <si>
    <t>EBITDA Forecast</t>
  </si>
  <si>
    <t>Receita Forecast FY</t>
  </si>
  <si>
    <t>EBITDA Forecast FY</t>
  </si>
  <si>
    <t>Desvio EBITDA vs Orç.</t>
  </si>
  <si>
    <t>Saldo Final de Caixa</t>
  </si>
  <si>
    <t>STATUS DO FORECAST</t>
  </si>
  <si>
    <t>Realizado até</t>
  </si>
  <si>
    <t>Ago/2026</t>
  </si>
  <si>
    <t>Margem EBITDA Forecast</t>
  </si>
  <si>
    <t>Forecast</t>
  </si>
  <si>
    <t>Set–Dez/2026</t>
  </si>
  <si>
    <t>Gap vs Meta</t>
  </si>
  <si>
    <t>Foco de atenção</t>
  </si>
  <si>
    <t>Liquidez Forecast</t>
  </si>
  <si>
    <t>Desvio R$</t>
  </si>
  <si>
    <t>Desvio %</t>
  </si>
  <si>
    <t>Saldo Acumulado</t>
  </si>
  <si>
    <t>Centro de Custo</t>
  </si>
  <si>
    <t>Responsável</t>
  </si>
  <si>
    <t>Plano de ação</t>
  </si>
  <si>
    <t>Operações</t>
  </si>
  <si>
    <t>Gerência Operacional</t>
  </si>
  <si>
    <t>Renegociar fornecedores e revisar contratos.</t>
  </si>
  <si>
    <t>Comercial</t>
  </si>
  <si>
    <t>Gerência Comercial</t>
  </si>
  <si>
    <t>Revisar ROI de campanhas e comissões.</t>
  </si>
  <si>
    <t>Administrativo</t>
  </si>
  <si>
    <t>Controladoria</t>
  </si>
  <si>
    <t>Racionalizar despesas recorrentes.</t>
  </si>
  <si>
    <t>Tecnologia &amp; Dados</t>
  </si>
  <si>
    <t>TI / Dados</t>
  </si>
  <si>
    <t>Priorizar projetos por retorno esperado.</t>
  </si>
  <si>
    <t>Pessoas &amp; RH</t>
  </si>
  <si>
    <t>RH</t>
  </si>
  <si>
    <t>Acompanhar admissões e horas extras.</t>
  </si>
  <si>
    <t>Tributário</t>
  </si>
  <si>
    <t>Fiscal</t>
  </si>
  <si>
    <t>Revisar premissas tributárias do forecast.</t>
  </si>
  <si>
    <t>Total</t>
  </si>
  <si>
    <t>Área</t>
  </si>
  <si>
    <t>HC Inicial</t>
  </si>
  <si>
    <t>Admissões</t>
  </si>
  <si>
    <t>Desligamentos</t>
  </si>
  <si>
    <t>HC Final</t>
  </si>
  <si>
    <t>Salário Médio (R$)</t>
  </si>
  <si>
    <t>Custo Mensal (R$)</t>
  </si>
  <si>
    <t>Custo FY Orçado (R$)</t>
  </si>
  <si>
    <t>Custo FY Forecast (R$)</t>
  </si>
  <si>
    <t>Finanças</t>
  </si>
  <si>
    <t>CENÁRIOS — BASE, OTIMISTA E CONSERVADOR</t>
  </si>
  <si>
    <t>Cresc. Receita</t>
  </si>
  <si>
    <t>Cresc. Custos</t>
  </si>
  <si>
    <t>Cresc. Pessoal</t>
  </si>
  <si>
    <t>Receita FY (R$)</t>
  </si>
  <si>
    <t>EBITDA FY (R$)</t>
  </si>
  <si>
    <t>Leitura</t>
  </si>
  <si>
    <t>Custos</t>
  </si>
  <si>
    <t>Receita FY</t>
  </si>
  <si>
    <t>EBITDA FY</t>
  </si>
  <si>
    <t>Margem</t>
  </si>
  <si>
    <t>Caixa</t>
  </si>
  <si>
    <t>Pressão de receita</t>
  </si>
  <si>
    <t>Inflação/fornecedores</t>
  </si>
  <si>
    <t>Maior custo de pessoal</t>
  </si>
  <si>
    <t>Forecast atual</t>
  </si>
  <si>
    <t>Upside comercial</t>
  </si>
  <si>
    <t>Eficiência de custos</t>
  </si>
  <si>
    <t>Produtividade</t>
  </si>
  <si>
    <t>PONTE DE VARIAÇÃO DO EBITDA — ORÇADO x FORECAST</t>
  </si>
  <si>
    <t>Driver</t>
  </si>
  <si>
    <t>Impacto no EBITDA (R$)</t>
  </si>
  <si>
    <t>Natureza</t>
  </si>
  <si>
    <t>Comentário</t>
  </si>
  <si>
    <t>EBITDA Orçado</t>
  </si>
  <si>
    <t>Ponto de partida do orçamento.</t>
  </si>
  <si>
    <t>Favorável</t>
  </si>
  <si>
    <t>Crescimento de receita versus orçamento.</t>
  </si>
  <si>
    <t>Outras receitas acima do plano.</t>
  </si>
  <si>
    <t>Desfavorável</t>
  </si>
  <si>
    <t>Pressão de custos diretos.</t>
  </si>
  <si>
    <t>Custo de pessoal acima do orçamento.</t>
  </si>
  <si>
    <t>Tributos acima do orçamento.</t>
  </si>
  <si>
    <t>Opex acima do orçamento.</t>
  </si>
  <si>
    <t>Final</t>
  </si>
  <si>
    <t>EBITDA após incorporação dos principais drivers.</t>
  </si>
  <si>
    <t>Budget • Actual • Forecast • Cenários • Centros de Custo • Headcount • Ponte EBITDA</t>
  </si>
  <si>
    <t>Liquidez Dez</t>
  </si>
  <si>
    <t>Saldo Final</t>
  </si>
  <si>
    <t>Orçado</t>
  </si>
  <si>
    <t>Desvio</t>
  </si>
  <si>
    <t>Deslig.</t>
  </si>
  <si>
    <t>Salário Médio</t>
  </si>
  <si>
    <t>Custo FY Orç.</t>
  </si>
  <si>
    <t>Custo FY Fct.</t>
  </si>
  <si>
    <t>Driver EBITDA</t>
  </si>
  <si>
    <t>Impacto (R$)</t>
  </si>
  <si>
    <t>INSIGHTS EXECUTIVOS</t>
  </si>
  <si>
    <t>1. Receita forecast supera o orçamento, mas o ganho é parcialmente absorvido por custos e pessoal.</t>
  </si>
  <si>
    <t>2. Cenários permitem medir sensibilidade do EBITDA a receita, custos e headcount.</t>
  </si>
  <si>
    <t>3. Centros de custo com desvio desfavorável devem ter plano de ação e responsável.</t>
  </si>
  <si>
    <t>4. Headcount conecta decisões de contratação ao impacto financeiro anual.</t>
  </si>
  <si>
    <t>5. A ponte de EBITDA explica os principais drivers entre orçamento e forecast.</t>
  </si>
  <si>
    <t>DASHBOARD EXECUTIVO FP&amp;A</t>
  </si>
  <si>
    <t>HEADCOUNT &amp; CUSTO DE PESSOAL — FP&amp;A</t>
  </si>
  <si>
    <t>ANÁLISE POR CENTRO DE CUSTO — FP&amp;A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</si>
</sst>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R\$\ #,##0;[Red]\(\R\$\ #,##0\);\-"/>
    <numFmt numFmtId="165" formatCode="0.0%"/>
    <numFmt numFmtId="166" formatCode="0.00\x"/>
    <numFmt numFmtId="167" formatCode="0.0\ &quot;meses&quot;"/>
    <numFmt numFmtId="168" formatCode="mmm"/>
    <numFmt numFmtId="169" formatCode="0.0\ &quot;meses de saídas médias&quot;"/>
    <numFmt numFmtId="170" formatCode="\R\$\ #,##0"/>
    <numFmt numFmtId="171" formatCode="0.0%;[Red]\(0.0%\);\-"/>
    <numFmt numFmtId="172" formatCode="0.0\x"/>
    <numFmt numFmtId="173" formatCode="0.0\x;[Red]\(0.0\x\);\-"/>
  </numFmts>
  <fonts count="2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FF"/>
      <name val="Carlito"/>
    </font>
    <font>
      <b/>
      <sz val="11"/>
      <color rgb="FF1F1F1F"/>
      <name val="Carlito"/>
    </font>
    <font>
      <b/>
      <sz val="11"/>
      <name val="Carlito"/>
    </font>
    <font>
      <sz val="11"/>
      <color rgb="FF000000"/>
      <name val="Carlito"/>
    </font>
    <font>
      <b/>
      <sz val="11"/>
      <color rgb="FFC55A11"/>
      <name val="Carlito"/>
    </font>
    <font>
      <b/>
      <sz val="11"/>
      <color rgb="FF548235"/>
      <name val="Carlito"/>
    </font>
    <font>
      <sz val="11"/>
      <color rgb="FF008000"/>
      <name val="Carlito"/>
    </font>
    <font>
      <b/>
      <sz val="20"/>
      <color rgb="FFFFFFFF"/>
      <name val="Carlito"/>
    </font>
    <font>
      <b/>
      <sz val="10"/>
      <color rgb="FFFFFFFF"/>
      <name val="Carlito"/>
    </font>
    <font>
      <b/>
      <sz val="16"/>
      <color rgb="FF1F1F1F"/>
      <name val="Carlito"/>
    </font>
    <font>
      <b/>
      <sz val="13"/>
      <color rgb="FF548235"/>
      <name val="Carlito"/>
    </font>
    <font>
      <sz val="11"/>
      <color rgb="FF1F1F1F"/>
      <name val="Carlito"/>
    </font>
    <font>
      <b/>
      <sz val="12"/>
      <color rgb="FF1F1F1F"/>
      <name val="Carlito"/>
    </font>
    <font>
      <i/>
      <sz val="11"/>
      <color rgb="FF1F1F1F"/>
      <name val="Carlito"/>
    </font>
    <font>
      <b/>
      <sz val="15"/>
      <color rgb="FFFFFFFF"/>
      <name val="Carlito"/>
    </font>
    <font>
      <b/>
      <sz val="11"/>
      <color rgb="FF008000"/>
      <name val="Carlito"/>
    </font>
    <font>
      <b/>
      <sz val="18"/>
      <color rgb="FFFFFFFF"/>
      <name val="Carlito"/>
    </font>
    <font>
      <b/>
      <sz val="14"/>
      <color rgb="FF008000"/>
      <name val="Carlito"/>
    </font>
    <font>
      <b/>
      <sz val="11"/>
      <color rgb="FF17365D"/>
      <name val="Carlito"/>
    </font>
    <font>
      <b/>
      <sz val="18"/>
      <color rgb="FF008000"/>
      <name val="Carlito"/>
    </font>
    <font>
      <sz val="11"/>
      <color rgb="FF333333"/>
      <name val="Carlito"/>
    </font>
    <font>
      <sz val="12"/>
      <color rgb="FF17365D"/>
      <name val="Carlito"/>
    </font>
    <font>
      <sz val="12"/>
      <color rgb="FF666666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8FAFC"/>
      </patternFill>
    </fill>
    <fill>
      <patternFill patternType="solid">
        <fgColor rgb="FFFAFAFA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DCE6F1"/>
      </patternFill>
    </fill>
    <fill>
      <patternFill patternType="solid">
        <fgColor rgb="FFF8FBFF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7F9FB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17365D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3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166" fontId="3" fillId="4" borderId="0" xfId="0" applyNumberFormat="1" applyFont="1" applyFill="1"/>
    <xf numFmtId="0" fontId="2" fillId="2" borderId="0" xfId="0" applyFont="1" applyFill="1"/>
    <xf numFmtId="165" fontId="3" fillId="0" borderId="0" xfId="0" applyNumberFormat="1" applyFont="1"/>
    <xf numFmtId="0" fontId="4" fillId="4" borderId="0" xfId="0" applyFont="1" applyFill="1"/>
    <xf numFmtId="0" fontId="2" fillId="3" borderId="0" xfId="0" applyFont="1" applyFill="1" applyAlignment="1">
      <alignment horizontal="center"/>
    </xf>
    <xf numFmtId="17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6" fillId="5" borderId="0" xfId="0" applyFont="1" applyFill="1"/>
    <xf numFmtId="165" fontId="7" fillId="0" borderId="0" xfId="0" applyNumberFormat="1" applyFont="1"/>
    <xf numFmtId="0" fontId="2" fillId="3" borderId="0" xfId="0" applyFont="1" applyFill="1" applyAlignment="1">
      <alignment horizontal="center" wrapText="1"/>
    </xf>
    <xf numFmtId="166" fontId="0" fillId="0" borderId="0" xfId="0" applyNumberFormat="1"/>
    <xf numFmtId="0" fontId="8" fillId="6" borderId="0" xfId="0" applyFont="1" applyFill="1"/>
    <xf numFmtId="0" fontId="9" fillId="7" borderId="0" xfId="0" applyFont="1" applyFill="1"/>
    <xf numFmtId="164" fontId="10" fillId="0" borderId="0" xfId="0" applyNumberFormat="1" applyFont="1"/>
    <xf numFmtId="168" fontId="0" fillId="0" borderId="0" xfId="0" applyNumberFormat="1"/>
    <xf numFmtId="0" fontId="0" fillId="0" borderId="0" xfId="0" applyAlignment="1">
      <alignment wrapText="1"/>
    </xf>
    <xf numFmtId="0" fontId="2" fillId="11" borderId="0" xfId="0" applyFont="1" applyFill="1"/>
    <xf numFmtId="171" fontId="3" fillId="12" borderId="0" xfId="0" applyNumberFormat="1" applyFont="1" applyFill="1"/>
    <xf numFmtId="1" fontId="3" fillId="12" borderId="0" xfId="0" applyNumberFormat="1" applyFont="1" applyFill="1"/>
    <xf numFmtId="0" fontId="2" fillId="11" borderId="0" xfId="0" applyFont="1" applyFill="1" applyAlignment="1">
      <alignment horizontal="center"/>
    </xf>
    <xf numFmtId="171" fontId="0" fillId="0" borderId="0" xfId="0" applyNumberFormat="1"/>
    <xf numFmtId="164" fontId="3" fillId="0" borderId="0" xfId="0" applyNumberFormat="1" applyFont="1"/>
    <xf numFmtId="171" fontId="10" fillId="0" borderId="0" xfId="0" applyNumberFormat="1" applyFont="1"/>
    <xf numFmtId="0" fontId="6" fillId="0" borderId="0" xfId="0" applyFont="1"/>
    <xf numFmtId="0" fontId="6" fillId="0" borderId="1" xfId="0" applyFont="1" applyBorder="1"/>
    <xf numFmtId="164" fontId="19" fillId="0" borderId="1" xfId="0" applyNumberFormat="1" applyFont="1" applyBorder="1"/>
    <xf numFmtId="171" fontId="19" fillId="0" borderId="1" xfId="0" applyNumberFormat="1" applyFont="1" applyBorder="1"/>
    <xf numFmtId="0" fontId="6" fillId="13" borderId="1" xfId="0" applyFont="1" applyFill="1" applyBorder="1"/>
    <xf numFmtId="164" fontId="19" fillId="13" borderId="1" xfId="0" applyNumberFormat="1" applyFont="1" applyFill="1" applyBorder="1"/>
    <xf numFmtId="171" fontId="19" fillId="13" borderId="1" xfId="0" applyNumberFormat="1" applyFont="1" applyFill="1" applyBorder="1"/>
    <xf numFmtId="0" fontId="0" fillId="14" borderId="0" xfId="0" applyFill="1"/>
    <xf numFmtId="171" fontId="10" fillId="14" borderId="0" xfId="0" applyNumberFormat="1" applyFont="1" applyFill="1"/>
    <xf numFmtId="0" fontId="10" fillId="0" borderId="0" xfId="0" applyFont="1"/>
    <xf numFmtId="0" fontId="10" fillId="0" borderId="0" xfId="0" applyFont="1" applyAlignment="1">
      <alignment wrapText="1"/>
    </xf>
    <xf numFmtId="172" fontId="0" fillId="0" borderId="0" xfId="0" applyNumberFormat="1"/>
    <xf numFmtId="172" fontId="10" fillId="0" borderId="0" xfId="0" applyNumberFormat="1" applyFont="1"/>
    <xf numFmtId="0" fontId="6" fillId="14" borderId="0" xfId="0" applyFont="1" applyFill="1"/>
    <xf numFmtId="0" fontId="2" fillId="18" borderId="0" xfId="0" applyFont="1" applyFill="1" applyAlignment="1">
      <alignment horizontal="center" vertical="center" wrapText="1"/>
    </xf>
    <xf numFmtId="0" fontId="3" fillId="19" borderId="0" xfId="0" applyFont="1" applyFill="1"/>
    <xf numFmtId="0" fontId="7" fillId="0" borderId="0" xfId="0" applyFont="1"/>
    <xf numFmtId="164" fontId="3" fillId="19" borderId="0" xfId="0" applyNumberFormat="1" applyFont="1" applyFill="1"/>
    <xf numFmtId="164" fontId="7" fillId="0" borderId="0" xfId="0" applyNumberFormat="1" applyFont="1"/>
    <xf numFmtId="171" fontId="7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171" fontId="6" fillId="0" borderId="2" xfId="0" applyNumberFormat="1" applyFont="1" applyBorder="1"/>
    <xf numFmtId="171" fontId="3" fillId="19" borderId="0" xfId="0" applyNumberFormat="1" applyFont="1" applyFill="1"/>
    <xf numFmtId="0" fontId="22" fillId="20" borderId="0" xfId="0" applyFont="1" applyFill="1"/>
    <xf numFmtId="164" fontId="22" fillId="20" borderId="0" xfId="0" applyNumberFormat="1" applyFont="1" applyFill="1"/>
    <xf numFmtId="164" fontId="19" fillId="0" borderId="2" xfId="0" applyNumberFormat="1" applyFont="1" applyBorder="1"/>
    <xf numFmtId="0" fontId="11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0" fillId="8" borderId="0" xfId="0" applyFill="1" applyAlignment="1">
      <alignment wrapText="1"/>
    </xf>
    <xf numFmtId="170" fontId="13" fillId="8" borderId="0" xfId="0" applyNumberFormat="1" applyFont="1" applyFill="1" applyAlignment="1">
      <alignment horizontal="center" vertical="center" wrapText="1"/>
    </xf>
    <xf numFmtId="164" fontId="13" fillId="8" borderId="0" xfId="0" applyNumberFormat="1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166" fontId="13" fillId="8" borderId="0" xfId="0" applyNumberFormat="1" applyFont="1" applyFill="1" applyAlignment="1">
      <alignment horizontal="center" vertical="center" wrapText="1"/>
    </xf>
    <xf numFmtId="167" fontId="13" fillId="8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5" fillId="9" borderId="0" xfId="0" applyFont="1" applyFill="1" applyAlignment="1">
      <alignment wrapText="1"/>
    </xf>
    <xf numFmtId="170" fontId="16" fillId="9" borderId="0" xfId="0" applyNumberFormat="1" applyFont="1" applyFill="1" applyAlignment="1">
      <alignment wrapText="1"/>
    </xf>
    <xf numFmtId="0" fontId="16" fillId="9" borderId="0" xfId="0" applyFont="1" applyFill="1" applyAlignment="1">
      <alignment wrapText="1"/>
    </xf>
    <xf numFmtId="17" fontId="16" fillId="9" borderId="0" xfId="0" applyNumberFormat="1" applyFont="1" applyFill="1" applyAlignment="1">
      <alignment wrapText="1"/>
    </xf>
    <xf numFmtId="166" fontId="16" fillId="9" borderId="0" xfId="0" applyNumberFormat="1" applyFont="1" applyFill="1" applyAlignment="1">
      <alignment wrapText="1"/>
    </xf>
    <xf numFmtId="169" fontId="16" fillId="9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/>
    <xf numFmtId="0" fontId="0" fillId="0" borderId="0" xfId="0"/>
    <xf numFmtId="0" fontId="1" fillId="10" borderId="0" xfId="0" applyFont="1" applyFill="1" applyAlignment="1">
      <alignment horizontal="left" vertical="center"/>
    </xf>
    <xf numFmtId="0" fontId="17" fillId="13" borderId="0" xfId="0" applyFont="1" applyFill="1" applyAlignment="1">
      <alignment wrapText="1"/>
    </xf>
    <xf numFmtId="0" fontId="18" fillId="10" borderId="0" xfId="0" applyFont="1" applyFill="1"/>
    <xf numFmtId="0" fontId="2" fillId="11" borderId="0" xfId="0" applyFont="1" applyFill="1" applyAlignment="1">
      <alignment horizontal="center"/>
    </xf>
    <xf numFmtId="164" fontId="21" fillId="16" borderId="0" xfId="0" applyNumberFormat="1" applyFont="1" applyFill="1" applyAlignment="1">
      <alignment horizontal="center" vertical="center"/>
    </xf>
    <xf numFmtId="171" fontId="21" fillId="16" borderId="0" xfId="0" applyNumberFormat="1" applyFont="1" applyFill="1" applyAlignment="1">
      <alignment horizontal="center" vertical="center"/>
    </xf>
    <xf numFmtId="172" fontId="21" fillId="16" borderId="0" xfId="0" applyNumberFormat="1" applyFont="1" applyFill="1" applyAlignment="1">
      <alignment horizontal="center" vertical="center"/>
    </xf>
    <xf numFmtId="0" fontId="2" fillId="10" borderId="0" xfId="0" applyFont="1" applyFill="1"/>
    <xf numFmtId="0" fontId="6" fillId="0" borderId="0" xfId="0" applyFont="1"/>
    <xf numFmtId="0" fontId="0" fillId="16" borderId="0" xfId="0" applyFill="1" applyAlignment="1">
      <alignment horizontal="center"/>
    </xf>
    <xf numFmtId="0" fontId="1" fillId="17" borderId="0" xfId="0" applyFont="1" applyFill="1" applyAlignment="1">
      <alignment horizontal="left" vertical="center"/>
    </xf>
    <xf numFmtId="0" fontId="2" fillId="18" borderId="0" xfId="0" applyFont="1" applyFill="1" applyAlignment="1">
      <alignment horizontal="center"/>
    </xf>
    <xf numFmtId="164" fontId="23" fillId="21" borderId="0" xfId="0" applyNumberFormat="1" applyFont="1" applyFill="1" applyAlignment="1">
      <alignment horizontal="center" vertical="center"/>
    </xf>
    <xf numFmtId="171" fontId="23" fillId="21" borderId="0" xfId="0" applyNumberFormat="1" applyFont="1" applyFill="1" applyAlignment="1">
      <alignment horizontal="center" vertical="center"/>
    </xf>
    <xf numFmtId="173" fontId="23" fillId="21" borderId="0" xfId="0" applyNumberFormat="1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0" fontId="24" fillId="22" borderId="0" xfId="0" applyFont="1" applyFill="1" applyAlignment="1">
      <alignment wrapText="1"/>
    </xf>
    <xf numFmtId="0" fontId="11" fillId="17" borderId="0" xfId="0" applyFont="1" applyFill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0" fillId="10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Entradas</c:v>
          </c:tx>
          <c:invertIfNegative val="1"/>
          <c:cat>
            <c:strRef>
              <c:f>Dashboard!$N$3:$N$14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Dashboard!$O$3:$O$14</c:f>
              <c:numCache>
                <c:formatCode>\R\$\ #,##0;[Red]\(\R\$\ #,##0\);\-</c:formatCode>
                <c:ptCount val="12"/>
                <c:pt idx="0">
                  <c:v>82000</c:v>
                </c:pt>
                <c:pt idx="1">
                  <c:v>79000</c:v>
                </c:pt>
                <c:pt idx="2">
                  <c:v>91000</c:v>
                </c:pt>
                <c:pt idx="3">
                  <c:v>87000</c:v>
                </c:pt>
                <c:pt idx="4">
                  <c:v>94000</c:v>
                </c:pt>
                <c:pt idx="5">
                  <c:v>97000</c:v>
                </c:pt>
                <c:pt idx="6">
                  <c:v>101000</c:v>
                </c:pt>
                <c:pt idx="7">
                  <c:v>99000</c:v>
                </c:pt>
                <c:pt idx="8">
                  <c:v>101970</c:v>
                </c:pt>
                <c:pt idx="9">
                  <c:v>105029.1</c:v>
                </c:pt>
                <c:pt idx="10">
                  <c:v>108179.97300000001</c:v>
                </c:pt>
                <c:pt idx="11">
                  <c:v>111425.37219000001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9-44D4-9A84-4ED1E28DD469}"/>
            </c:ext>
          </c:extLst>
        </c:ser>
        <c:ser>
          <c:idx val="1"/>
          <c:order val="1"/>
          <c:tx>
            <c:v>Saídas</c:v>
          </c:tx>
          <c:invertIfNegative val="1"/>
          <c:cat>
            <c:strRef>
              <c:f>Dashboard!$N$3:$N$14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Dashboard!$P$3:$P$14</c:f>
              <c:numCache>
                <c:formatCode>\R\$\ #,##0;[Red]\(\R\$\ #,##0\);\-</c:formatCode>
                <c:ptCount val="12"/>
                <c:pt idx="0">
                  <c:v>68000</c:v>
                </c:pt>
                <c:pt idx="1">
                  <c:v>72000</c:v>
                </c:pt>
                <c:pt idx="2">
                  <c:v>74500</c:v>
                </c:pt>
                <c:pt idx="3">
                  <c:v>76000</c:v>
                </c:pt>
                <c:pt idx="4">
                  <c:v>78500</c:v>
                </c:pt>
                <c:pt idx="5">
                  <c:v>82000</c:v>
                </c:pt>
                <c:pt idx="6">
                  <c:v>84500</c:v>
                </c:pt>
                <c:pt idx="7">
                  <c:v>86000</c:v>
                </c:pt>
                <c:pt idx="8">
                  <c:v>87720</c:v>
                </c:pt>
                <c:pt idx="9">
                  <c:v>89474.400000000009</c:v>
                </c:pt>
                <c:pt idx="10">
                  <c:v>91263.888000000006</c:v>
                </c:pt>
                <c:pt idx="11">
                  <c:v>93089.165760000004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9-44D4-9A84-4ED1E28DD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Saldo Acumulado</c:v>
          </c:tx>
          <c:marker>
            <c:symbol val="none"/>
          </c:marker>
          <c:cat>
            <c:strRef>
              <c:f>Dashboard!$N$3:$N$14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Dashboard!$Q$3:$Q$14</c:f>
              <c:numCache>
                <c:formatCode>\R\$\ #,##0;[Red]\(\R\$\ #,##0\);\-</c:formatCode>
                <c:ptCount val="12"/>
                <c:pt idx="0">
                  <c:v>64000</c:v>
                </c:pt>
                <c:pt idx="1">
                  <c:v>71000</c:v>
                </c:pt>
                <c:pt idx="2">
                  <c:v>87500</c:v>
                </c:pt>
                <c:pt idx="3">
                  <c:v>98500</c:v>
                </c:pt>
                <c:pt idx="4">
                  <c:v>114000</c:v>
                </c:pt>
                <c:pt idx="5">
                  <c:v>129000</c:v>
                </c:pt>
                <c:pt idx="6">
                  <c:v>145500</c:v>
                </c:pt>
                <c:pt idx="7">
                  <c:v>158500</c:v>
                </c:pt>
                <c:pt idx="8">
                  <c:v>172750</c:v>
                </c:pt>
                <c:pt idx="9">
                  <c:v>188304.7</c:v>
                </c:pt>
                <c:pt idx="10">
                  <c:v>205220.78500000003</c:v>
                </c:pt>
                <c:pt idx="11">
                  <c:v>223556.99143000005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23-411E-8692-C64C9096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Liquidez</c:v>
          </c:tx>
          <c:marker>
            <c:symbol val="none"/>
          </c:marker>
          <c:cat>
            <c:strRef>
              <c:f>Dashboard!$N$3:$N$14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Dashboard!$R$3:$R$14</c:f>
              <c:numCache>
                <c:formatCode>0.00\x</c:formatCode>
                <c:ptCount val="12"/>
                <c:pt idx="0">
                  <c:v>3.0294117647058822</c:v>
                </c:pt>
                <c:pt idx="1">
                  <c:v>3.0447530864197532</c:v>
                </c:pt>
                <c:pt idx="2">
                  <c:v>3.5600298284862042</c:v>
                </c:pt>
                <c:pt idx="3">
                  <c:v>3.7704678362573101</c:v>
                </c:pt>
                <c:pt idx="4">
                  <c:v>4.1585279547062983</c:v>
                </c:pt>
                <c:pt idx="5">
                  <c:v>4.4159891598915992</c:v>
                </c:pt>
                <c:pt idx="6">
                  <c:v>4.7560815253122941</c:v>
                </c:pt>
                <c:pt idx="7">
                  <c:v>4.9909560723514215</c:v>
                </c:pt>
                <c:pt idx="8">
                  <c:v>5.2804250899326135</c:v>
                </c:pt>
                <c:pt idx="9">
                  <c:v>5.5898020985766754</c:v>
                </c:pt>
                <c:pt idx="10">
                  <c:v>5.9189475676172032</c:v>
                </c:pt>
                <c:pt idx="11">
                  <c:v>6.2677271613234078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44-48EA-B4E3-DE9151D5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\x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Receita: Orçado x Forecast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Receita Orçada</c:v>
          </c:tx>
          <c:marker>
            <c:symbol val="none"/>
          </c:marker>
          <c:cat>
            <c:strRef>
              <c:f>Dashboard_V2!$N$3:$N$14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Dashboard_V2!$O$3:$O$14</c:f>
              <c:numCache>
                <c:formatCode>\R\$\ #,##0;[Red]\(\R\$\ #,##0\);\-</c:formatCode>
                <c:ptCount val="12"/>
                <c:pt idx="0">
                  <c:v>82500</c:v>
                </c:pt>
                <c:pt idx="1">
                  <c:v>83822.5</c:v>
                </c:pt>
                <c:pt idx="2">
                  <c:v>85167.989999999991</c:v>
                </c:pt>
                <c:pt idx="3">
                  <c:v>86536.89</c:v>
                </c:pt>
                <c:pt idx="4">
                  <c:v>87929.600000000006</c:v>
                </c:pt>
                <c:pt idx="5">
                  <c:v>89346.559999999998</c:v>
                </c:pt>
                <c:pt idx="6">
                  <c:v>90788.2</c:v>
                </c:pt>
                <c:pt idx="7">
                  <c:v>92254.95</c:v>
                </c:pt>
                <c:pt idx="8">
                  <c:v>93747.26</c:v>
                </c:pt>
                <c:pt idx="9">
                  <c:v>95265.590000000011</c:v>
                </c:pt>
                <c:pt idx="10">
                  <c:v>96810.42</c:v>
                </c:pt>
                <c:pt idx="11">
                  <c:v>98382.2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2C-4061-ABA6-75D3AE3208D2}"/>
            </c:ext>
          </c:extLst>
        </c:ser>
        <c:ser>
          <c:idx val="1"/>
          <c:order val="1"/>
          <c:tx>
            <c:v>Receita Forecast</c:v>
          </c:tx>
          <c:marker>
            <c:symbol val="none"/>
          </c:marker>
          <c:cat>
            <c:strRef>
              <c:f>Dashboard_V2!$N$3:$N$14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Dashboard_V2!$P$3:$P$14</c:f>
              <c:numCache>
                <c:formatCode>\R\$\ #,##0;[Red]\(\R\$\ #,##0\);\-</c:formatCode>
                <c:ptCount val="12"/>
                <c:pt idx="0">
                  <c:v>82000</c:v>
                </c:pt>
                <c:pt idx="1">
                  <c:v>79000</c:v>
                </c:pt>
                <c:pt idx="2">
                  <c:v>91000</c:v>
                </c:pt>
                <c:pt idx="3">
                  <c:v>87000</c:v>
                </c:pt>
                <c:pt idx="4">
                  <c:v>94000</c:v>
                </c:pt>
                <c:pt idx="5">
                  <c:v>97000</c:v>
                </c:pt>
                <c:pt idx="6">
                  <c:v>101000</c:v>
                </c:pt>
                <c:pt idx="7">
                  <c:v>99000</c:v>
                </c:pt>
                <c:pt idx="8">
                  <c:v>101673</c:v>
                </c:pt>
                <c:pt idx="9">
                  <c:v>104423.22</c:v>
                </c:pt>
                <c:pt idx="10">
                  <c:v>107252.94690000001</c:v>
                </c:pt>
                <c:pt idx="11">
                  <c:v>110164.53591000001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2C-4061-ABA6-75D3AE320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Desvios por Categoria (R$)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Desvio R$</c:v>
          </c:tx>
          <c:invertIfNegative val="1"/>
          <c:cat>
            <c:strRef>
              <c:f>Dashboard_V2!$N$18:$N$23</c:f>
              <c:strCache>
                <c:ptCount val="6"/>
                <c:pt idx="0">
                  <c:v>Receita Operacional</c:v>
                </c:pt>
                <c:pt idx="1">
                  <c:v>Outras Receitas</c:v>
                </c:pt>
                <c:pt idx="2">
                  <c:v>Fornecedores</c:v>
                </c:pt>
                <c:pt idx="3">
                  <c:v>Pessoal</c:v>
                </c:pt>
                <c:pt idx="4">
                  <c:v>Tributos</c:v>
                </c:pt>
                <c:pt idx="5">
                  <c:v>Despesas Operacionais</c:v>
                </c:pt>
              </c:strCache>
            </c:strRef>
          </c:cat>
          <c:val>
            <c:numRef>
              <c:f>Dashboard_V2!$O$18:$O$23</c:f>
              <c:numCache>
                <c:formatCode>\R\$\ #,##0;[Red]\(\R\$\ #,##0\);\-</c:formatCode>
                <c:ptCount val="6"/>
                <c:pt idx="0">
                  <c:v>54756.148411499918</c:v>
                </c:pt>
                <c:pt idx="1">
                  <c:v>16205.394398499979</c:v>
                </c:pt>
                <c:pt idx="2">
                  <c:v>16839.594364799967</c:v>
                </c:pt>
                <c:pt idx="3">
                  <c:v>34739.771353574935</c:v>
                </c:pt>
                <c:pt idx="4">
                  <c:v>12355.941357587231</c:v>
                </c:pt>
                <c:pt idx="5">
                  <c:v>9947.3677234943898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2-432B-AF18-BF188D3B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Evolução do Saldo de Caixa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 Acumulado</c:v>
          </c:tx>
          <c:marker>
            <c:symbol val="none"/>
          </c:marker>
          <c:cat>
            <c:strRef>
              <c:f>Dashboard_V2!$N$27:$N$38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Dashboard_V2!$O$27:$O$38</c:f>
              <c:numCache>
                <c:formatCode>\R\$\ #,##0;[Red]\(\R\$\ #,##0\);\-</c:formatCode>
                <c:ptCount val="12"/>
                <c:pt idx="0">
                  <c:v>64000</c:v>
                </c:pt>
                <c:pt idx="1">
                  <c:v>71000</c:v>
                </c:pt>
                <c:pt idx="2">
                  <c:v>87500</c:v>
                </c:pt>
                <c:pt idx="3">
                  <c:v>98500</c:v>
                </c:pt>
                <c:pt idx="4">
                  <c:v>114000</c:v>
                </c:pt>
                <c:pt idx="5">
                  <c:v>129000</c:v>
                </c:pt>
                <c:pt idx="6">
                  <c:v>145500</c:v>
                </c:pt>
                <c:pt idx="7">
                  <c:v>158500</c:v>
                </c:pt>
                <c:pt idx="8">
                  <c:v>172750</c:v>
                </c:pt>
                <c:pt idx="9">
                  <c:v>188304.7</c:v>
                </c:pt>
                <c:pt idx="10">
                  <c:v>205220.78500000003</c:v>
                </c:pt>
                <c:pt idx="11">
                  <c:v>223556.99143000005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4F-4A91-A4AC-D9DD094B0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EBITDA Gerencial Mensal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EBITDA Forecast</c:v>
          </c:tx>
          <c:invertIfNegative val="1"/>
          <c:cat>
            <c:strRef>
              <c:f>Dashboard_V2!$R$3:$R$14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Dashboard_V2!$S$3:$S$14</c:f>
              <c:numCache>
                <c:formatCode>\R\$\ #,##0;[Red]\(\R\$\ #,##0\);\-</c:formatCode>
                <c:ptCount val="12"/>
                <c:pt idx="0">
                  <c:v>14000</c:v>
                </c:pt>
                <c:pt idx="1">
                  <c:v>7000</c:v>
                </c:pt>
                <c:pt idx="2">
                  <c:v>16500</c:v>
                </c:pt>
                <c:pt idx="3">
                  <c:v>11000</c:v>
                </c:pt>
                <c:pt idx="4">
                  <c:v>15500</c:v>
                </c:pt>
                <c:pt idx="5">
                  <c:v>15000</c:v>
                </c:pt>
                <c:pt idx="6">
                  <c:v>16500</c:v>
                </c:pt>
                <c:pt idx="7">
                  <c:v>13000</c:v>
                </c:pt>
                <c:pt idx="8">
                  <c:v>14271.2</c:v>
                </c:pt>
                <c:pt idx="9">
                  <c:v>15596.150600000017</c:v>
                </c:pt>
                <c:pt idx="10">
                  <c:v>16976.735953400028</c:v>
                </c:pt>
                <c:pt idx="11">
                  <c:v>18414.901457143431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E-46E4-A6F8-BBB3C1B05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Cenários — Receita e EBITDA FY</a:t>
            </a:r>
          </a:p>
        </c:rich>
      </c:tx>
      <c:layout>
        <c:manualLayout>
          <c:xMode val="edge"/>
          <c:yMode val="edge"/>
          <c:x val="0.30660247562932319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FY</c:v>
          </c:tx>
          <c:invertIfNegative val="1"/>
          <c:cat>
            <c:strRef>
              <c:f>Dashboard_V3!$A$11:$A$13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Dashboard_V3!$B$11:$B$13</c:f>
              <c:numCache>
                <c:formatCode>\R\$\ #,##0;[Red]\(\R\$\ #,##0\);\-</c:formatCode>
                <c:ptCount val="3"/>
                <c:pt idx="0">
                  <c:v>1118908.2917256998</c:v>
                </c:pt>
                <c:pt idx="1">
                  <c:v>1153513.7028099999</c:v>
                </c:pt>
                <c:pt idx="2">
                  <c:v>1211189.3879505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1-411F-8899-8F9C100B80A0}"/>
            </c:ext>
          </c:extLst>
        </c:ser>
        <c:ser>
          <c:idx val="1"/>
          <c:order val="1"/>
          <c:tx>
            <c:v>EBITDA FY</c:v>
          </c:tx>
          <c:invertIfNegative val="1"/>
          <c:cat>
            <c:strRef>
              <c:f>Dashboard_V3!$A$11:$A$13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Dashboard_V3!$C$11:$C$13</c:f>
              <c:numCache>
                <c:formatCode>\R\$\ #,##0;[Red]\(\R\$\ #,##0\);\-</c:formatCode>
                <c:ptCount val="3"/>
                <c:pt idx="0">
                  <c:v>111408.13595386044</c:v>
                </c:pt>
                <c:pt idx="1">
                  <c:v>173758.98801054343</c:v>
                </c:pt>
                <c:pt idx="2">
                  <c:v>240066.79025187518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1-411F-8899-8F9C100B8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noFill/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noFill/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Centros de Custo</a:t>
            </a:r>
          </a:p>
          <a:p>
            <a:r>
              <a:rPr lang="en-US"/>
              <a:t>Orçado x Forecast</a:t>
            </a:r>
          </a:p>
        </c:rich>
      </c:tx>
      <c:layout>
        <c:manualLayout>
          <c:xMode val="edge"/>
          <c:yMode val="edge"/>
          <c:x val="0.35714172488955376"/>
          <c:y val="2.4480876002297734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Orçado</c:v>
          </c:tx>
          <c:invertIfNegative val="1"/>
          <c:cat>
            <c:strRef>
              <c:f>Dashboard_V3!$A$17:$A$22</c:f>
              <c:strCache>
                <c:ptCount val="6"/>
                <c:pt idx="0">
                  <c:v>Operações</c:v>
                </c:pt>
                <c:pt idx="1">
                  <c:v>Comercial</c:v>
                </c:pt>
                <c:pt idx="2">
                  <c:v>Administrativo</c:v>
                </c:pt>
                <c:pt idx="3">
                  <c:v>Tecnologia &amp; Dados</c:v>
                </c:pt>
                <c:pt idx="4">
                  <c:v>Pessoas &amp; RH</c:v>
                </c:pt>
                <c:pt idx="5">
                  <c:v>Tributário</c:v>
                </c:pt>
              </c:strCache>
            </c:strRef>
          </c:cat>
          <c:val>
            <c:numRef>
              <c:f>Dashboard_V3!$B$17:$B$22</c:f>
              <c:numCache>
                <c:formatCode>\R\$\ #,##0;[Red]\(\R\$\ #,##0\);\-</c:formatCode>
                <c:ptCount val="6"/>
                <c:pt idx="0">
                  <c:v>310000</c:v>
                </c:pt>
                <c:pt idx="1">
                  <c:v>148000</c:v>
                </c:pt>
                <c:pt idx="2">
                  <c:v>205000</c:v>
                </c:pt>
                <c:pt idx="3">
                  <c:v>112000</c:v>
                </c:pt>
                <c:pt idx="4">
                  <c:v>221000</c:v>
                </c:pt>
                <c:pt idx="5">
                  <c:v>86400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1-4C50-8385-1D6A750511C4}"/>
            </c:ext>
          </c:extLst>
        </c:ser>
        <c:ser>
          <c:idx val="1"/>
          <c:order val="1"/>
          <c:tx>
            <c:v>Forecast</c:v>
          </c:tx>
          <c:invertIfNegative val="1"/>
          <c:cat>
            <c:strRef>
              <c:f>Dashboard_V3!$A$17:$A$22</c:f>
              <c:strCache>
                <c:ptCount val="6"/>
                <c:pt idx="0">
                  <c:v>Operações</c:v>
                </c:pt>
                <c:pt idx="1">
                  <c:v>Comercial</c:v>
                </c:pt>
                <c:pt idx="2">
                  <c:v>Administrativo</c:v>
                </c:pt>
                <c:pt idx="3">
                  <c:v>Tecnologia &amp; Dados</c:v>
                </c:pt>
                <c:pt idx="4">
                  <c:v>Pessoas &amp; RH</c:v>
                </c:pt>
                <c:pt idx="5">
                  <c:v>Tributário</c:v>
                </c:pt>
              </c:strCache>
            </c:strRef>
          </c:cat>
          <c:val>
            <c:numRef>
              <c:f>Dashboard_V3!$C$17:$C$22</c:f>
              <c:numCache>
                <c:formatCode>\R\$\ #,##0;[Red]\(\R\$\ #,##0\);\-</c:formatCode>
                <c:ptCount val="6"/>
                <c:pt idx="0">
                  <c:v>326000</c:v>
                </c:pt>
                <c:pt idx="1">
                  <c:v>156500</c:v>
                </c:pt>
                <c:pt idx="2">
                  <c:v>214000</c:v>
                </c:pt>
                <c:pt idx="3">
                  <c:v>126000</c:v>
                </c:pt>
                <c:pt idx="4">
                  <c:v>229000</c:v>
                </c:pt>
                <c:pt idx="5">
                  <c:v>90200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1-4C50-8385-1D6A750511C4}"/>
            </c:ext>
          </c:extLst>
        </c:ser>
        <c:ser>
          <c:idx val="2"/>
          <c:order val="2"/>
          <c:tx>
            <c:v>Desvio</c:v>
          </c:tx>
          <c:invertIfNegative val="1"/>
          <c:cat>
            <c:strRef>
              <c:f>Dashboard_V3!$A$17:$A$22</c:f>
              <c:strCache>
                <c:ptCount val="6"/>
                <c:pt idx="0">
                  <c:v>Operações</c:v>
                </c:pt>
                <c:pt idx="1">
                  <c:v>Comercial</c:v>
                </c:pt>
                <c:pt idx="2">
                  <c:v>Administrativo</c:v>
                </c:pt>
                <c:pt idx="3">
                  <c:v>Tecnologia &amp; Dados</c:v>
                </c:pt>
                <c:pt idx="4">
                  <c:v>Pessoas &amp; RH</c:v>
                </c:pt>
                <c:pt idx="5">
                  <c:v>Tributário</c:v>
                </c:pt>
              </c:strCache>
            </c:strRef>
          </c:cat>
          <c:val>
            <c:numRef>
              <c:f>Dashboard_V3!$D$17:$D$22</c:f>
              <c:numCache>
                <c:formatCode>\R\$\ #,##0;[Red]\(\R\$\ #,##0\);\-</c:formatCode>
                <c:ptCount val="6"/>
                <c:pt idx="0">
                  <c:v>16000</c:v>
                </c:pt>
                <c:pt idx="1">
                  <c:v>8500</c:v>
                </c:pt>
                <c:pt idx="2">
                  <c:v>9000</c:v>
                </c:pt>
                <c:pt idx="3">
                  <c:v>14000</c:v>
                </c:pt>
                <c:pt idx="4">
                  <c:v>8000</c:v>
                </c:pt>
                <c:pt idx="5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1-4C50-8385-1D6A75051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noFill/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noFill/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47625</xdr:rowOff>
    </xdr:from>
    <xdr:to>
      <xdr:col>18</xdr:col>
      <xdr:colOff>0</xdr:colOff>
      <xdr:row>14</xdr:row>
      <xdr:rowOff>59531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342447</xdr:colOff>
      <xdr:row>14</xdr:row>
      <xdr:rowOff>166687</xdr:rowOff>
    </xdr:from>
    <xdr:to>
      <xdr:col>7</xdr:col>
      <xdr:colOff>1530803</xdr:colOff>
      <xdr:row>29</xdr:row>
      <xdr:rowOff>362857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ncamentosTable" displayName="LancamentosTable" ref="A3:H59" totalsRowShown="0">
  <tableColumns count="8">
    <tableColumn id="1" xr3:uid="{00000000-0010-0000-0000-000001000000}" name="Data"/>
    <tableColumn id="2" xr3:uid="{00000000-0010-0000-0000-000002000000}" name="Mês"/>
    <tableColumn id="3" xr3:uid="{00000000-0010-0000-0000-000003000000}" name="Tipo"/>
    <tableColumn id="4" xr3:uid="{00000000-0010-0000-0000-000004000000}" name="Categoria"/>
    <tableColumn id="5" xr3:uid="{00000000-0010-0000-0000-000005000000}" name="Descrição"/>
    <tableColumn id="6" xr3:uid="{00000000-0010-0000-0000-000006000000}" name="Valor (R$)"/>
    <tableColumn id="7" xr3:uid="{00000000-0010-0000-0000-000007000000}" name="Status"/>
    <tableColumn id="8" xr3:uid="{00000000-0010-0000-0000-000008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showGridLines="0" showRowColHeaders="0" tabSelected="1" topLeftCell="A7" zoomScale="60" zoomScaleNormal="60" workbookViewId="0">
      <selection activeCell="Q26" sqref="Q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2" width="13" customWidth="1"/>
    <col min="15" max="15" width="10.75" bestFit="1" customWidth="1"/>
    <col min="16" max="16" width="10.125" bestFit="1" customWidth="1"/>
    <col min="17" max="17" width="11.125" bestFit="1" customWidth="1"/>
  </cols>
  <sheetData>
    <row r="1" spans="1:18" ht="18.9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8" ht="18.9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N2" t="s">
        <v>1</v>
      </c>
      <c r="O2" t="s">
        <v>2</v>
      </c>
      <c r="P2" t="s">
        <v>3</v>
      </c>
      <c r="Q2" t="s">
        <v>4</v>
      </c>
      <c r="R2" t="s">
        <v>5</v>
      </c>
    </row>
    <row r="3" spans="1:18" ht="18.95" customHeight="1">
      <c r="A3" s="94" t="s">
        <v>6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N3" s="19" t="s">
        <v>7</v>
      </c>
      <c r="O3" s="11">
        <f>Resumo_Mensal!D4</f>
        <v>82000</v>
      </c>
      <c r="P3" s="11">
        <f>Resumo_Mensal!E4</f>
        <v>68000</v>
      </c>
      <c r="Q3" s="11">
        <f>Resumo_Mensal!G4</f>
        <v>64000</v>
      </c>
      <c r="R3" s="15">
        <f>Resumo_Mensal!J4</f>
        <v>3.0294117647058822</v>
      </c>
    </row>
    <row r="4" spans="1:18" ht="18.9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N4" s="19" t="s">
        <v>8</v>
      </c>
      <c r="O4" s="11">
        <f>Resumo_Mensal!D5</f>
        <v>79000</v>
      </c>
      <c r="P4" s="11">
        <f>Resumo_Mensal!E5</f>
        <v>72000</v>
      </c>
      <c r="Q4" s="11">
        <f>Resumo_Mensal!G5</f>
        <v>71000</v>
      </c>
      <c r="R4" s="15">
        <f>Resumo_Mensal!J5</f>
        <v>3.0447530864197532</v>
      </c>
    </row>
    <row r="5" spans="1:18" ht="18.95" customHeight="1">
      <c r="A5" s="56" t="s">
        <v>9</v>
      </c>
      <c r="B5" s="57"/>
      <c r="C5" s="56" t="s">
        <v>10</v>
      </c>
      <c r="D5" s="57"/>
      <c r="E5" s="56" t="s">
        <v>11</v>
      </c>
      <c r="F5" s="57"/>
      <c r="G5" s="56" t="s">
        <v>12</v>
      </c>
      <c r="H5" s="57"/>
      <c r="I5" s="56" t="s">
        <v>13</v>
      </c>
      <c r="J5" s="57"/>
      <c r="K5" s="56" t="s">
        <v>14</v>
      </c>
      <c r="L5" s="57"/>
      <c r="N5" s="19" t="s">
        <v>15</v>
      </c>
      <c r="O5" s="11">
        <f>Resumo_Mensal!D6</f>
        <v>91000</v>
      </c>
      <c r="P5" s="11">
        <f>Resumo_Mensal!E6</f>
        <v>74500</v>
      </c>
      <c r="Q5" s="11">
        <f>Resumo_Mensal!G6</f>
        <v>87500</v>
      </c>
      <c r="R5" s="15">
        <f>Resumo_Mensal!J6</f>
        <v>3.5600298284862042</v>
      </c>
    </row>
    <row r="6" spans="1:18" ht="18.95" customHeight="1">
      <c r="A6" s="58">
        <f>ROUND(Premissas!B4,0)</f>
        <v>50000</v>
      </c>
      <c r="B6" s="59"/>
      <c r="C6" s="58">
        <f>ROUND(SUM(Resumo_Mensal!D4:D15),0)</f>
        <v>1156604</v>
      </c>
      <c r="D6" s="59"/>
      <c r="E6" s="58">
        <f>ROUND(SUM(Resumo_Mensal!E4:E15),0)</f>
        <v>983047</v>
      </c>
      <c r="F6" s="59"/>
      <c r="G6" s="58">
        <f>ROUND(Resumo_Mensal!G15,0)</f>
        <v>223557</v>
      </c>
      <c r="H6" s="59"/>
      <c r="I6" s="61">
        <f>Resumo_Mensal!J15</f>
        <v>6.2677271613234078</v>
      </c>
      <c r="J6" s="60"/>
      <c r="K6" s="62">
        <f>IF(AVERAGE(Resumo_Mensal!E4:E15)=0,0,Resumo_Mensal!G15/AVERAGE(Resumo_Mensal!E4:E15))</f>
        <v>2.7289464886961068</v>
      </c>
      <c r="L6" s="60"/>
      <c r="N6" s="19" t="s">
        <v>16</v>
      </c>
      <c r="O6" s="11">
        <f>Resumo_Mensal!D7</f>
        <v>87000</v>
      </c>
      <c r="P6" s="11">
        <f>Resumo_Mensal!E7</f>
        <v>76000</v>
      </c>
      <c r="Q6" s="11">
        <f>Resumo_Mensal!G7</f>
        <v>98500</v>
      </c>
      <c r="R6" s="15">
        <f>Resumo_Mensal!J7</f>
        <v>3.7704678362573101</v>
      </c>
    </row>
    <row r="7" spans="1:18" ht="18.95" customHeigh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N7" s="19" t="s">
        <v>17</v>
      </c>
      <c r="O7" s="11">
        <f>Resumo_Mensal!D8</f>
        <v>94000</v>
      </c>
      <c r="P7" s="11">
        <f>Resumo_Mensal!E8</f>
        <v>78500</v>
      </c>
      <c r="Q7" s="11">
        <f>Resumo_Mensal!G8</f>
        <v>114000</v>
      </c>
      <c r="R7" s="15">
        <f>Resumo_Mensal!J8</f>
        <v>4.1585279547062983</v>
      </c>
    </row>
    <row r="8" spans="1:18" ht="18.95" customHeight="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N8" s="19" t="s">
        <v>18</v>
      </c>
      <c r="O8" s="11">
        <f>Resumo_Mensal!D9</f>
        <v>97000</v>
      </c>
      <c r="P8" s="11">
        <f>Resumo_Mensal!E9</f>
        <v>82000</v>
      </c>
      <c r="Q8" s="11">
        <f>Resumo_Mensal!G9</f>
        <v>129000</v>
      </c>
      <c r="R8" s="15">
        <f>Resumo_Mensal!J9</f>
        <v>4.4159891598915992</v>
      </c>
    </row>
    <row r="9" spans="1:18" ht="18.9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N9" s="19" t="s">
        <v>19</v>
      </c>
      <c r="O9" s="11">
        <f>Resumo_Mensal!D10</f>
        <v>101000</v>
      </c>
      <c r="P9" s="11">
        <f>Resumo_Mensal!E10</f>
        <v>84500</v>
      </c>
      <c r="Q9" s="11">
        <f>Resumo_Mensal!G10</f>
        <v>145500</v>
      </c>
      <c r="R9" s="15">
        <f>Resumo_Mensal!J10</f>
        <v>4.7560815253122941</v>
      </c>
    </row>
    <row r="10" spans="1:18" ht="18.95" customHeight="1">
      <c r="A10" s="63" t="str">
        <f>IF(I6&lt;Premissas!B9,"⚠ LIQUIDEZ ABAIXO DA META","✓ LIQUIDEZ ACIMA DA META")</f>
        <v>✓ LIQUIDEZ ACIMA DA META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N10" s="19" t="s">
        <v>20</v>
      </c>
      <c r="O10" s="11">
        <f>Resumo_Mensal!D11</f>
        <v>99000</v>
      </c>
      <c r="P10" s="11">
        <f>Resumo_Mensal!E11</f>
        <v>86000</v>
      </c>
      <c r="Q10" s="11">
        <f>Resumo_Mensal!G11</f>
        <v>158500</v>
      </c>
      <c r="R10" s="15">
        <f>Resumo_Mensal!J11</f>
        <v>4.9909560723514215</v>
      </c>
    </row>
    <row r="11" spans="1:18" ht="18.95" customHeight="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N11" s="19" t="s">
        <v>21</v>
      </c>
      <c r="O11" s="11">
        <f>Resumo_Mensal!D12</f>
        <v>101970</v>
      </c>
      <c r="P11" s="11">
        <f>Resumo_Mensal!E12</f>
        <v>87720</v>
      </c>
      <c r="Q11" s="11">
        <f>Resumo_Mensal!G12</f>
        <v>172750</v>
      </c>
      <c r="R11" s="15">
        <f>Resumo_Mensal!J12</f>
        <v>5.2804250899326135</v>
      </c>
    </row>
    <row r="12" spans="1:18" ht="18.9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N12" s="19" t="s">
        <v>22</v>
      </c>
      <c r="O12" s="11">
        <f>Resumo_Mensal!D13</f>
        <v>105029.1</v>
      </c>
      <c r="P12" s="11">
        <f>Resumo_Mensal!E13</f>
        <v>89474.400000000009</v>
      </c>
      <c r="Q12" s="11">
        <f>Resumo_Mensal!G13</f>
        <v>188304.7</v>
      </c>
      <c r="R12" s="15">
        <f>Resumo_Mensal!J13</f>
        <v>5.5898020985766754</v>
      </c>
    </row>
    <row r="13" spans="1:18" ht="18.9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N13" s="19" t="s">
        <v>23</v>
      </c>
      <c r="O13" s="11">
        <f>Resumo_Mensal!D14</f>
        <v>108179.97300000001</v>
      </c>
      <c r="P13" s="11">
        <f>Resumo_Mensal!E14</f>
        <v>91263.888000000006</v>
      </c>
      <c r="Q13" s="11">
        <f>Resumo_Mensal!G14</f>
        <v>205220.78500000003</v>
      </c>
      <c r="R13" s="15">
        <f>Resumo_Mensal!J14</f>
        <v>5.9189475676172032</v>
      </c>
    </row>
    <row r="14" spans="1:18" ht="18.9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N14" s="19" t="s">
        <v>24</v>
      </c>
      <c r="O14" s="11">
        <f>Resumo_Mensal!D15</f>
        <v>111425.37219000001</v>
      </c>
      <c r="P14" s="11">
        <f>Resumo_Mensal!E15</f>
        <v>93089.165760000004</v>
      </c>
      <c r="Q14" s="11">
        <f>Resumo_Mensal!G15</f>
        <v>223556.99143000005</v>
      </c>
      <c r="R14" s="15">
        <f>Resumo_Mensal!J15</f>
        <v>6.2677271613234078</v>
      </c>
    </row>
    <row r="15" spans="1:18" ht="18.9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8" ht="18.9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18.9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18.9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ht="18.9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18.9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18.9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ht="18.9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ht="18.9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ht="18.9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ht="18.9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ht="18.9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18.9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18.9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ht="18.9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ht="18.9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ht="18.95" customHeight="1">
      <c r="A31" s="20"/>
      <c r="B31" s="20"/>
      <c r="C31" s="20"/>
      <c r="D31" s="20"/>
      <c r="E31" s="20"/>
      <c r="F31" s="20"/>
      <c r="G31" s="64" t="s">
        <v>25</v>
      </c>
      <c r="H31" s="64"/>
      <c r="I31" s="64"/>
      <c r="J31" s="64"/>
      <c r="K31" s="64"/>
      <c r="L31" s="64"/>
    </row>
    <row r="32" spans="1:12" ht="18.95" customHeight="1">
      <c r="A32" s="20"/>
      <c r="B32" s="20"/>
      <c r="C32" s="20"/>
      <c r="D32" s="20"/>
      <c r="E32" s="20"/>
      <c r="F32" s="20"/>
      <c r="G32" s="65" t="s">
        <v>26</v>
      </c>
      <c r="H32" s="65"/>
      <c r="I32" s="65"/>
      <c r="J32" s="65"/>
      <c r="K32" s="65"/>
      <c r="L32" s="65"/>
    </row>
    <row r="33" spans="1:12" ht="18.95" customHeight="1">
      <c r="A33" s="20"/>
      <c r="B33" s="20"/>
      <c r="C33" s="20"/>
      <c r="D33" s="20"/>
      <c r="E33" s="20"/>
      <c r="F33" s="20"/>
      <c r="G33" s="66">
        <f>ROUND(SUM(Resumo_Mensal!F4:F15),0)</f>
        <v>173557</v>
      </c>
      <c r="H33" s="67"/>
      <c r="I33" s="67"/>
      <c r="J33" s="67"/>
      <c r="K33" s="67"/>
      <c r="L33" s="67"/>
    </row>
    <row r="34" spans="1:12" ht="18.95" customHeight="1">
      <c r="A34" s="20"/>
      <c r="B34" s="20"/>
      <c r="C34" s="20"/>
      <c r="D34" s="20"/>
      <c r="E34" s="20"/>
      <c r="F34" s="20"/>
      <c r="G34" s="67"/>
      <c r="H34" s="67"/>
      <c r="I34" s="67"/>
      <c r="J34" s="67"/>
      <c r="K34" s="67"/>
      <c r="L34" s="67"/>
    </row>
    <row r="35" spans="1:12" ht="18.95" customHeight="1">
      <c r="A35" s="20"/>
      <c r="B35" s="20"/>
      <c r="C35" s="20"/>
      <c r="D35" s="20"/>
      <c r="E35" s="20"/>
      <c r="F35" s="20"/>
      <c r="G35" s="67" t="s">
        <v>27</v>
      </c>
      <c r="H35" s="67"/>
      <c r="I35" s="67"/>
      <c r="J35" s="67"/>
      <c r="K35" s="67"/>
      <c r="L35" s="67"/>
    </row>
    <row r="36" spans="1:12" ht="18.95" customHeight="1">
      <c r="A36" s="20"/>
      <c r="B36" s="20"/>
      <c r="C36" s="20"/>
      <c r="D36" s="20"/>
      <c r="E36" s="20"/>
      <c r="F36" s="20"/>
      <c r="G36" s="68">
        <f>INDEX(Resumo_Mensal!A4:A15,MATCH(MAX(Resumo_Mensal!F4:F15),Resumo_Mensal!F4:F15,0))</f>
        <v>46357</v>
      </c>
      <c r="H36" s="67"/>
      <c r="I36" s="67"/>
      <c r="J36" s="67"/>
      <c r="K36" s="67"/>
      <c r="L36" s="67"/>
    </row>
    <row r="37" spans="1:12" ht="18.95" customHeight="1">
      <c r="A37" s="20"/>
      <c r="B37" s="20"/>
      <c r="C37" s="20"/>
      <c r="D37" s="20"/>
      <c r="E37" s="20"/>
      <c r="F37" s="20"/>
      <c r="G37" s="66">
        <f>ROUND(MAX(Resumo_Mensal!F4:F15),0)</f>
        <v>18336</v>
      </c>
      <c r="H37" s="67"/>
      <c r="I37" s="67"/>
      <c r="J37" s="67"/>
      <c r="K37" s="67"/>
      <c r="L37" s="67"/>
    </row>
    <row r="38" spans="1:12" ht="18.95" customHeight="1">
      <c r="A38" s="20"/>
      <c r="B38" s="20"/>
      <c r="C38" s="20"/>
      <c r="D38" s="20"/>
      <c r="E38" s="20"/>
      <c r="F38" s="20"/>
      <c r="G38" s="67" t="s">
        <v>28</v>
      </c>
      <c r="H38" s="67"/>
      <c r="I38" s="67"/>
      <c r="J38" s="67"/>
      <c r="K38" s="67"/>
      <c r="L38" s="67"/>
    </row>
    <row r="39" spans="1:12" ht="18.95" customHeight="1">
      <c r="A39" s="20"/>
      <c r="B39" s="20"/>
      <c r="C39" s="20"/>
      <c r="D39" s="20"/>
      <c r="E39" s="20"/>
      <c r="F39" s="20"/>
      <c r="G39" s="69">
        <f>Resumo_Mensal!J15</f>
        <v>6.2677271613234078</v>
      </c>
      <c r="H39" s="67"/>
      <c r="I39" s="67"/>
      <c r="J39" s="67"/>
      <c r="K39" s="67"/>
      <c r="L39" s="67"/>
    </row>
    <row r="40" spans="1:12" ht="18.95" customHeight="1">
      <c r="A40" s="20"/>
      <c r="B40" s="20"/>
      <c r="C40" s="20"/>
      <c r="D40" s="20"/>
      <c r="E40" s="20"/>
      <c r="F40" s="20"/>
      <c r="G40" s="67"/>
      <c r="H40" s="67"/>
      <c r="I40" s="67"/>
      <c r="J40" s="67"/>
      <c r="K40" s="67"/>
      <c r="L40" s="67"/>
    </row>
    <row r="41" spans="1:12" ht="18.95" customHeight="1">
      <c r="A41" s="20"/>
      <c r="B41" s="20"/>
      <c r="C41" s="20"/>
      <c r="D41" s="20"/>
      <c r="E41" s="20"/>
      <c r="F41" s="20"/>
      <c r="G41" s="67" t="s">
        <v>29</v>
      </c>
      <c r="H41" s="67"/>
      <c r="I41" s="67"/>
      <c r="J41" s="67"/>
      <c r="K41" s="67"/>
      <c r="L41" s="67"/>
    </row>
    <row r="42" spans="1:12" ht="18.95" customHeight="1">
      <c r="A42" s="20"/>
      <c r="B42" s="20"/>
      <c r="C42" s="20"/>
      <c r="D42" s="20"/>
      <c r="E42" s="20"/>
      <c r="F42" s="20"/>
      <c r="G42" s="67" t="str">
        <f>Premissas!E7</f>
        <v>Base</v>
      </c>
      <c r="H42" s="67"/>
      <c r="I42" s="67"/>
      <c r="J42" s="67"/>
      <c r="K42" s="67"/>
      <c r="L42" s="67"/>
    </row>
    <row r="43" spans="1:12" ht="18.95" customHeight="1">
      <c r="A43" s="20"/>
      <c r="B43" s="20"/>
      <c r="C43" s="20"/>
      <c r="D43" s="20"/>
      <c r="E43" s="20"/>
      <c r="F43" s="20"/>
      <c r="G43" s="67"/>
      <c r="H43" s="67"/>
      <c r="I43" s="67"/>
      <c r="J43" s="67"/>
      <c r="K43" s="67"/>
      <c r="L43" s="67"/>
    </row>
    <row r="44" spans="1:12" ht="18.95" customHeight="1">
      <c r="A44" s="20"/>
      <c r="B44" s="20"/>
      <c r="C44" s="20"/>
      <c r="D44" s="20"/>
      <c r="E44" s="20"/>
      <c r="F44" s="20"/>
      <c r="G44" s="67" t="s">
        <v>30</v>
      </c>
      <c r="H44" s="67"/>
      <c r="I44" s="67"/>
      <c r="J44" s="67"/>
      <c r="K44" s="67"/>
      <c r="L44" s="67"/>
    </row>
    <row r="45" spans="1:12" ht="18.95" customHeight="1">
      <c r="A45" s="20"/>
      <c r="B45" s="20"/>
      <c r="C45" s="20"/>
      <c r="D45" s="20"/>
      <c r="E45" s="20"/>
      <c r="F45" s="20"/>
      <c r="G45" s="70">
        <f>K6</f>
        <v>2.7289464886961068</v>
      </c>
      <c r="H45" s="67"/>
      <c r="I45" s="67"/>
      <c r="J45" s="67"/>
      <c r="K45" s="67"/>
      <c r="L45" s="67"/>
    </row>
    <row r="46" spans="1:12" ht="18.95" customHeight="1">
      <c r="A46" s="20"/>
      <c r="B46" s="20"/>
      <c r="C46" s="20"/>
      <c r="D46" s="20"/>
      <c r="E46" s="20"/>
      <c r="F46" s="20"/>
      <c r="G46" s="65"/>
      <c r="H46" s="65"/>
      <c r="I46" s="65"/>
      <c r="J46" s="65"/>
      <c r="K46" s="65"/>
      <c r="L46" s="65"/>
    </row>
    <row r="47" spans="1:12" ht="18.95" customHeight="1"/>
    <row r="48" spans="1:12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31">
    <mergeCell ref="G45:L45"/>
    <mergeCell ref="G46:L46"/>
    <mergeCell ref="G40:L40"/>
    <mergeCell ref="G41:L41"/>
    <mergeCell ref="G42:L42"/>
    <mergeCell ref="G43:L43"/>
    <mergeCell ref="G44:L44"/>
    <mergeCell ref="G35:L35"/>
    <mergeCell ref="G36:L36"/>
    <mergeCell ref="G37:L37"/>
    <mergeCell ref="G38:L38"/>
    <mergeCell ref="G39:L39"/>
    <mergeCell ref="A10:L11"/>
    <mergeCell ref="G31:L31"/>
    <mergeCell ref="G32:L32"/>
    <mergeCell ref="G33:L33"/>
    <mergeCell ref="G34:L34"/>
    <mergeCell ref="A1:L2"/>
    <mergeCell ref="A3:L3"/>
    <mergeCell ref="A5:B5"/>
    <mergeCell ref="A6:B8"/>
    <mergeCell ref="C5:D5"/>
    <mergeCell ref="C6:D8"/>
    <mergeCell ref="E5:F5"/>
    <mergeCell ref="E6:F8"/>
    <mergeCell ref="G5:H5"/>
    <mergeCell ref="G6:H8"/>
    <mergeCell ref="I5:J5"/>
    <mergeCell ref="I6:J8"/>
    <mergeCell ref="K5:L5"/>
    <mergeCell ref="K6:L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$I$6&lt;Premissas!$B$9</xm:f>
            <x14:dxf>
              <font>
                <b/>
                <color rgb="FFC00000"/>
              </font>
              <fill>
                <patternFill>
                  <bgColor rgb="FFF4CCCC"/>
                </patternFill>
              </fill>
            </x14:dxf>
          </x14:cfRule>
          <xm:sqref>A10:L11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showGridLines="0" showRowColHeaders="0" zoomScale="90" zoomScaleNormal="90" workbookViewId="0">
      <selection activeCell="E13" sqref="E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2" width="13" customWidth="1"/>
    <col min="3" max="4" width="20" customWidth="1"/>
    <col min="5" max="5" width="28" customWidth="1"/>
    <col min="6" max="6" width="16" customWidth="1"/>
    <col min="7" max="7" width="14" customWidth="1"/>
    <col min="8" max="8" width="24" customWidth="1"/>
  </cols>
  <sheetData>
    <row r="1" spans="1:8" ht="18.95" customHeight="1">
      <c r="A1" s="71" t="s">
        <v>31</v>
      </c>
      <c r="B1" s="71"/>
      <c r="C1" s="71"/>
      <c r="D1" s="71"/>
      <c r="E1" s="71"/>
      <c r="F1" s="71"/>
      <c r="G1" s="71"/>
      <c r="H1" s="71"/>
    </row>
    <row r="2" spans="1:8" ht="18.95" customHeight="1"/>
    <row r="3" spans="1:8" ht="18.95" customHeight="1">
      <c r="A3" s="8" t="s">
        <v>32</v>
      </c>
      <c r="B3" s="8" t="s">
        <v>1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</row>
    <row r="4" spans="1:8" ht="18.95" customHeight="1">
      <c r="A4" s="10">
        <v>46027</v>
      </c>
      <c r="B4" s="9">
        <v>46023</v>
      </c>
      <c r="C4" t="s">
        <v>39</v>
      </c>
      <c r="D4" t="s">
        <v>40</v>
      </c>
      <c r="E4" t="s">
        <v>41</v>
      </c>
      <c r="F4" s="11">
        <v>45100</v>
      </c>
      <c r="G4" t="s">
        <v>42</v>
      </c>
    </row>
    <row r="5" spans="1:8" ht="18.95" customHeight="1">
      <c r="A5" s="10">
        <v>46034</v>
      </c>
      <c r="B5" s="9">
        <v>46023</v>
      </c>
      <c r="C5" t="s">
        <v>39</v>
      </c>
      <c r="D5" t="s">
        <v>40</v>
      </c>
      <c r="E5" t="s">
        <v>43</v>
      </c>
      <c r="F5" s="11">
        <v>24600</v>
      </c>
      <c r="G5" t="s">
        <v>42</v>
      </c>
    </row>
    <row r="6" spans="1:8" ht="18.95" customHeight="1">
      <c r="A6" s="10">
        <v>46042</v>
      </c>
      <c r="B6" s="9">
        <v>46023</v>
      </c>
      <c r="C6" t="s">
        <v>39</v>
      </c>
      <c r="D6" t="s">
        <v>44</v>
      </c>
      <c r="E6" t="s">
        <v>45</v>
      </c>
      <c r="F6" s="11">
        <v>12300</v>
      </c>
      <c r="G6" t="s">
        <v>42</v>
      </c>
    </row>
    <row r="7" spans="1:8" ht="18.95" customHeight="1">
      <c r="A7" s="10">
        <v>46029</v>
      </c>
      <c r="B7" s="9">
        <v>46023</v>
      </c>
      <c r="C7" t="s">
        <v>46</v>
      </c>
      <c r="D7" t="s">
        <v>47</v>
      </c>
      <c r="E7" t="s">
        <v>48</v>
      </c>
      <c r="F7" s="11">
        <v>28560</v>
      </c>
      <c r="G7" t="s">
        <v>42</v>
      </c>
    </row>
    <row r="8" spans="1:8" ht="18.95" customHeight="1">
      <c r="A8" s="10">
        <v>46032</v>
      </c>
      <c r="B8" s="9">
        <v>46023</v>
      </c>
      <c r="C8" t="s">
        <v>46</v>
      </c>
      <c r="D8" t="s">
        <v>49</v>
      </c>
      <c r="E8" t="s">
        <v>50</v>
      </c>
      <c r="F8" s="11">
        <v>15640</v>
      </c>
      <c r="G8" t="s">
        <v>42</v>
      </c>
    </row>
    <row r="9" spans="1:8" ht="18.95" customHeight="1">
      <c r="A9" s="10">
        <v>46037</v>
      </c>
      <c r="B9" s="9">
        <v>46023</v>
      </c>
      <c r="C9" t="s">
        <v>46</v>
      </c>
      <c r="D9" t="s">
        <v>51</v>
      </c>
      <c r="E9" t="s">
        <v>52</v>
      </c>
      <c r="F9" s="11">
        <v>13600</v>
      </c>
      <c r="G9" t="s">
        <v>42</v>
      </c>
    </row>
    <row r="10" spans="1:8" ht="18.95" customHeight="1">
      <c r="A10" s="10">
        <v>46047</v>
      </c>
      <c r="B10" s="9">
        <v>46023</v>
      </c>
      <c r="C10" t="s">
        <v>46</v>
      </c>
      <c r="D10" t="s">
        <v>53</v>
      </c>
      <c r="E10" t="s">
        <v>54</v>
      </c>
      <c r="F10" s="11">
        <v>10200</v>
      </c>
      <c r="G10" t="s">
        <v>42</v>
      </c>
    </row>
    <row r="11" spans="1:8" ht="18.95" customHeight="1">
      <c r="A11" s="10">
        <v>46058</v>
      </c>
      <c r="B11" s="9">
        <v>46054</v>
      </c>
      <c r="C11" t="s">
        <v>39</v>
      </c>
      <c r="D11" t="s">
        <v>40</v>
      </c>
      <c r="E11" t="s">
        <v>41</v>
      </c>
      <c r="F11" s="11">
        <v>43450</v>
      </c>
      <c r="G11" t="s">
        <v>42</v>
      </c>
    </row>
    <row r="12" spans="1:8" ht="18.95" customHeight="1">
      <c r="A12" s="10">
        <v>46065</v>
      </c>
      <c r="B12" s="9">
        <v>46054</v>
      </c>
      <c r="C12" t="s">
        <v>39</v>
      </c>
      <c r="D12" t="s">
        <v>40</v>
      </c>
      <c r="E12" t="s">
        <v>43</v>
      </c>
      <c r="F12" s="11">
        <v>23700</v>
      </c>
      <c r="G12" t="s">
        <v>42</v>
      </c>
    </row>
    <row r="13" spans="1:8" ht="18.95" customHeight="1">
      <c r="A13" s="10">
        <v>46073</v>
      </c>
      <c r="B13" s="9">
        <v>46054</v>
      </c>
      <c r="C13" t="s">
        <v>39</v>
      </c>
      <c r="D13" t="s">
        <v>44</v>
      </c>
      <c r="E13" t="s">
        <v>45</v>
      </c>
      <c r="F13" s="11">
        <v>11850</v>
      </c>
      <c r="G13" t="s">
        <v>42</v>
      </c>
    </row>
    <row r="14" spans="1:8" ht="18.95" customHeight="1">
      <c r="A14" s="10">
        <v>46060</v>
      </c>
      <c r="B14" s="9">
        <v>46054</v>
      </c>
      <c r="C14" t="s">
        <v>46</v>
      </c>
      <c r="D14" t="s">
        <v>47</v>
      </c>
      <c r="E14" t="s">
        <v>48</v>
      </c>
      <c r="F14" s="11">
        <v>30240</v>
      </c>
      <c r="G14" t="s">
        <v>42</v>
      </c>
    </row>
    <row r="15" spans="1:8" ht="18.95" customHeight="1">
      <c r="A15" s="10">
        <v>46063</v>
      </c>
      <c r="B15" s="9">
        <v>46054</v>
      </c>
      <c r="C15" t="s">
        <v>46</v>
      </c>
      <c r="D15" t="s">
        <v>49</v>
      </c>
      <c r="E15" t="s">
        <v>50</v>
      </c>
      <c r="F15" s="11">
        <v>16560</v>
      </c>
      <c r="G15" t="s">
        <v>42</v>
      </c>
    </row>
    <row r="16" spans="1:8" ht="18.95" customHeight="1">
      <c r="A16" s="10">
        <v>46068</v>
      </c>
      <c r="B16" s="9">
        <v>46054</v>
      </c>
      <c r="C16" t="s">
        <v>46</v>
      </c>
      <c r="D16" t="s">
        <v>51</v>
      </c>
      <c r="E16" t="s">
        <v>52</v>
      </c>
      <c r="F16" s="11">
        <v>14400</v>
      </c>
      <c r="G16" t="s">
        <v>42</v>
      </c>
    </row>
    <row r="17" spans="1:7" ht="18.95" customHeight="1">
      <c r="A17" s="10">
        <v>46078</v>
      </c>
      <c r="B17" s="9">
        <v>46054</v>
      </c>
      <c r="C17" t="s">
        <v>46</v>
      </c>
      <c r="D17" t="s">
        <v>53</v>
      </c>
      <c r="E17" t="s">
        <v>54</v>
      </c>
      <c r="F17" s="11">
        <v>10800</v>
      </c>
      <c r="G17" t="s">
        <v>42</v>
      </c>
    </row>
    <row r="18" spans="1:7" ht="18.95" customHeight="1">
      <c r="A18" s="10">
        <v>46086</v>
      </c>
      <c r="B18" s="9">
        <v>46082</v>
      </c>
      <c r="C18" t="s">
        <v>39</v>
      </c>
      <c r="D18" t="s">
        <v>40</v>
      </c>
      <c r="E18" t="s">
        <v>41</v>
      </c>
      <c r="F18" s="11">
        <v>50050</v>
      </c>
      <c r="G18" t="s">
        <v>42</v>
      </c>
    </row>
    <row r="19" spans="1:7" ht="18.95" customHeight="1">
      <c r="A19" s="10">
        <v>46093</v>
      </c>
      <c r="B19" s="9">
        <v>46082</v>
      </c>
      <c r="C19" t="s">
        <v>39</v>
      </c>
      <c r="D19" t="s">
        <v>40</v>
      </c>
      <c r="E19" t="s">
        <v>43</v>
      </c>
      <c r="F19" s="11">
        <v>27300</v>
      </c>
      <c r="G19" t="s">
        <v>42</v>
      </c>
    </row>
    <row r="20" spans="1:7" ht="18.95" customHeight="1">
      <c r="A20" s="10">
        <v>46101</v>
      </c>
      <c r="B20" s="9">
        <v>46082</v>
      </c>
      <c r="C20" t="s">
        <v>39</v>
      </c>
      <c r="D20" t="s">
        <v>44</v>
      </c>
      <c r="E20" t="s">
        <v>45</v>
      </c>
      <c r="F20" s="11">
        <v>13650</v>
      </c>
      <c r="G20" t="s">
        <v>42</v>
      </c>
    </row>
    <row r="21" spans="1:7" ht="18.95" customHeight="1">
      <c r="A21" s="10">
        <v>46088</v>
      </c>
      <c r="B21" s="9">
        <v>46082</v>
      </c>
      <c r="C21" t="s">
        <v>46</v>
      </c>
      <c r="D21" t="s">
        <v>47</v>
      </c>
      <c r="E21" t="s">
        <v>48</v>
      </c>
      <c r="F21" s="11">
        <v>31290</v>
      </c>
      <c r="G21" t="s">
        <v>42</v>
      </c>
    </row>
    <row r="22" spans="1:7" ht="18.95" customHeight="1">
      <c r="A22" s="10">
        <v>46091</v>
      </c>
      <c r="B22" s="9">
        <v>46082</v>
      </c>
      <c r="C22" t="s">
        <v>46</v>
      </c>
      <c r="D22" t="s">
        <v>49</v>
      </c>
      <c r="E22" t="s">
        <v>50</v>
      </c>
      <c r="F22" s="11">
        <v>17135</v>
      </c>
      <c r="G22" t="s">
        <v>42</v>
      </c>
    </row>
    <row r="23" spans="1:7" ht="18.95" customHeight="1">
      <c r="A23" s="10">
        <v>46096</v>
      </c>
      <c r="B23" s="9">
        <v>46082</v>
      </c>
      <c r="C23" t="s">
        <v>46</v>
      </c>
      <c r="D23" t="s">
        <v>51</v>
      </c>
      <c r="E23" t="s">
        <v>52</v>
      </c>
      <c r="F23" s="11">
        <v>14900</v>
      </c>
      <c r="G23" t="s">
        <v>42</v>
      </c>
    </row>
    <row r="24" spans="1:7" ht="18.95" customHeight="1">
      <c r="A24" s="10">
        <v>46106</v>
      </c>
      <c r="B24" s="9">
        <v>46082</v>
      </c>
      <c r="C24" t="s">
        <v>46</v>
      </c>
      <c r="D24" t="s">
        <v>53</v>
      </c>
      <c r="E24" t="s">
        <v>54</v>
      </c>
      <c r="F24" s="11">
        <v>11175</v>
      </c>
      <c r="G24" t="s">
        <v>42</v>
      </c>
    </row>
    <row r="25" spans="1:7" ht="18.95" customHeight="1">
      <c r="A25" s="10">
        <v>46117</v>
      </c>
      <c r="B25" s="9">
        <v>46113</v>
      </c>
      <c r="C25" t="s">
        <v>39</v>
      </c>
      <c r="D25" t="s">
        <v>40</v>
      </c>
      <c r="E25" t="s">
        <v>41</v>
      </c>
      <c r="F25" s="11">
        <v>47850</v>
      </c>
      <c r="G25" t="s">
        <v>42</v>
      </c>
    </row>
    <row r="26" spans="1:7" ht="18.95" customHeight="1">
      <c r="A26" s="10">
        <v>46124</v>
      </c>
      <c r="B26" s="9">
        <v>46113</v>
      </c>
      <c r="C26" t="s">
        <v>39</v>
      </c>
      <c r="D26" t="s">
        <v>40</v>
      </c>
      <c r="E26" t="s">
        <v>43</v>
      </c>
      <c r="F26" s="11">
        <v>26100</v>
      </c>
      <c r="G26" t="s">
        <v>42</v>
      </c>
    </row>
    <row r="27" spans="1:7" ht="18.95" customHeight="1">
      <c r="A27" s="10">
        <v>46132</v>
      </c>
      <c r="B27" s="9">
        <v>46113</v>
      </c>
      <c r="C27" t="s">
        <v>39</v>
      </c>
      <c r="D27" t="s">
        <v>44</v>
      </c>
      <c r="E27" t="s">
        <v>45</v>
      </c>
      <c r="F27" s="11">
        <v>13050</v>
      </c>
      <c r="G27" t="s">
        <v>42</v>
      </c>
    </row>
    <row r="28" spans="1:7" ht="18.95" customHeight="1">
      <c r="A28" s="10">
        <v>46119</v>
      </c>
      <c r="B28" s="9">
        <v>46113</v>
      </c>
      <c r="C28" t="s">
        <v>46</v>
      </c>
      <c r="D28" t="s">
        <v>47</v>
      </c>
      <c r="E28" t="s">
        <v>48</v>
      </c>
      <c r="F28" s="11">
        <v>31920</v>
      </c>
      <c r="G28" t="s">
        <v>42</v>
      </c>
    </row>
    <row r="29" spans="1:7" ht="18.95" customHeight="1">
      <c r="A29" s="10">
        <v>46122</v>
      </c>
      <c r="B29" s="9">
        <v>46113</v>
      </c>
      <c r="C29" t="s">
        <v>46</v>
      </c>
      <c r="D29" t="s">
        <v>49</v>
      </c>
      <c r="E29" t="s">
        <v>50</v>
      </c>
      <c r="F29" s="11">
        <v>17480</v>
      </c>
      <c r="G29" t="s">
        <v>42</v>
      </c>
    </row>
    <row r="30" spans="1:7" ht="18.95" customHeight="1">
      <c r="A30" s="10">
        <v>46127</v>
      </c>
      <c r="B30" s="9">
        <v>46113</v>
      </c>
      <c r="C30" t="s">
        <v>46</v>
      </c>
      <c r="D30" t="s">
        <v>51</v>
      </c>
      <c r="E30" t="s">
        <v>52</v>
      </c>
      <c r="F30" s="11">
        <v>15200</v>
      </c>
      <c r="G30" t="s">
        <v>42</v>
      </c>
    </row>
    <row r="31" spans="1:7" ht="18.95" customHeight="1">
      <c r="A31" s="10">
        <v>46137</v>
      </c>
      <c r="B31" s="9">
        <v>46113</v>
      </c>
      <c r="C31" t="s">
        <v>46</v>
      </c>
      <c r="D31" t="s">
        <v>53</v>
      </c>
      <c r="E31" t="s">
        <v>54</v>
      </c>
      <c r="F31" s="11">
        <v>11400</v>
      </c>
      <c r="G31" t="s">
        <v>42</v>
      </c>
    </row>
    <row r="32" spans="1:7" ht="18.95" customHeight="1">
      <c r="A32" s="10">
        <v>46147</v>
      </c>
      <c r="B32" s="9">
        <v>46143</v>
      </c>
      <c r="C32" t="s">
        <v>39</v>
      </c>
      <c r="D32" t="s">
        <v>40</v>
      </c>
      <c r="E32" t="s">
        <v>41</v>
      </c>
      <c r="F32" s="11">
        <v>51700</v>
      </c>
      <c r="G32" t="s">
        <v>42</v>
      </c>
    </row>
    <row r="33" spans="1:7" ht="18.95" customHeight="1">
      <c r="A33" s="10">
        <v>46154</v>
      </c>
      <c r="B33" s="9">
        <v>46143</v>
      </c>
      <c r="C33" t="s">
        <v>39</v>
      </c>
      <c r="D33" t="s">
        <v>40</v>
      </c>
      <c r="E33" t="s">
        <v>43</v>
      </c>
      <c r="F33" s="11">
        <v>28200</v>
      </c>
      <c r="G33" t="s">
        <v>42</v>
      </c>
    </row>
    <row r="34" spans="1:7" ht="18.95" customHeight="1">
      <c r="A34" s="10">
        <v>46162</v>
      </c>
      <c r="B34" s="9">
        <v>46143</v>
      </c>
      <c r="C34" t="s">
        <v>39</v>
      </c>
      <c r="D34" t="s">
        <v>44</v>
      </c>
      <c r="E34" t="s">
        <v>45</v>
      </c>
      <c r="F34" s="11">
        <v>14100</v>
      </c>
      <c r="G34" t="s">
        <v>42</v>
      </c>
    </row>
    <row r="35" spans="1:7" ht="18.95" customHeight="1">
      <c r="A35" s="10">
        <v>46149</v>
      </c>
      <c r="B35" s="9">
        <v>46143</v>
      </c>
      <c r="C35" t="s">
        <v>46</v>
      </c>
      <c r="D35" t="s">
        <v>47</v>
      </c>
      <c r="E35" t="s">
        <v>48</v>
      </c>
      <c r="F35" s="11">
        <v>32970</v>
      </c>
      <c r="G35" t="s">
        <v>42</v>
      </c>
    </row>
    <row r="36" spans="1:7" ht="18.95" customHeight="1">
      <c r="A36" s="10">
        <v>46152</v>
      </c>
      <c r="B36" s="9">
        <v>46143</v>
      </c>
      <c r="C36" t="s">
        <v>46</v>
      </c>
      <c r="D36" t="s">
        <v>49</v>
      </c>
      <c r="E36" t="s">
        <v>50</v>
      </c>
      <c r="F36" s="11">
        <v>18055</v>
      </c>
      <c r="G36" t="s">
        <v>42</v>
      </c>
    </row>
    <row r="37" spans="1:7" ht="18.95" customHeight="1">
      <c r="A37" s="10">
        <v>46157</v>
      </c>
      <c r="B37" s="9">
        <v>46143</v>
      </c>
      <c r="C37" t="s">
        <v>46</v>
      </c>
      <c r="D37" t="s">
        <v>51</v>
      </c>
      <c r="E37" t="s">
        <v>52</v>
      </c>
      <c r="F37" s="11">
        <v>15700</v>
      </c>
      <c r="G37" t="s">
        <v>42</v>
      </c>
    </row>
    <row r="38" spans="1:7" ht="18.95" customHeight="1">
      <c r="A38" s="10">
        <v>46167</v>
      </c>
      <c r="B38" s="9">
        <v>46143</v>
      </c>
      <c r="C38" t="s">
        <v>46</v>
      </c>
      <c r="D38" t="s">
        <v>53</v>
      </c>
      <c r="E38" t="s">
        <v>54</v>
      </c>
      <c r="F38" s="11">
        <v>11775</v>
      </c>
      <c r="G38" t="s">
        <v>42</v>
      </c>
    </row>
    <row r="39" spans="1:7" ht="18.95" customHeight="1">
      <c r="A39" s="10">
        <v>46178</v>
      </c>
      <c r="B39" s="9">
        <v>46174</v>
      </c>
      <c r="C39" t="s">
        <v>39</v>
      </c>
      <c r="D39" t="s">
        <v>40</v>
      </c>
      <c r="E39" t="s">
        <v>41</v>
      </c>
      <c r="F39" s="11">
        <v>53350</v>
      </c>
      <c r="G39" t="s">
        <v>42</v>
      </c>
    </row>
    <row r="40" spans="1:7" ht="18.95" customHeight="1">
      <c r="A40" s="10">
        <v>46185</v>
      </c>
      <c r="B40" s="9">
        <v>46174</v>
      </c>
      <c r="C40" t="s">
        <v>39</v>
      </c>
      <c r="D40" t="s">
        <v>40</v>
      </c>
      <c r="E40" t="s">
        <v>43</v>
      </c>
      <c r="F40" s="11">
        <v>29100</v>
      </c>
      <c r="G40" t="s">
        <v>42</v>
      </c>
    </row>
    <row r="41" spans="1:7" ht="18.95" customHeight="1">
      <c r="A41" s="10">
        <v>46193</v>
      </c>
      <c r="B41" s="9">
        <v>46174</v>
      </c>
      <c r="C41" t="s">
        <v>39</v>
      </c>
      <c r="D41" t="s">
        <v>44</v>
      </c>
      <c r="E41" t="s">
        <v>45</v>
      </c>
      <c r="F41" s="11">
        <v>14550</v>
      </c>
      <c r="G41" t="s">
        <v>42</v>
      </c>
    </row>
    <row r="42" spans="1:7" ht="18.95" customHeight="1">
      <c r="A42" s="10">
        <v>46180</v>
      </c>
      <c r="B42" s="9">
        <v>46174</v>
      </c>
      <c r="C42" t="s">
        <v>46</v>
      </c>
      <c r="D42" t="s">
        <v>47</v>
      </c>
      <c r="E42" t="s">
        <v>48</v>
      </c>
      <c r="F42" s="11">
        <v>34440</v>
      </c>
      <c r="G42" t="s">
        <v>42</v>
      </c>
    </row>
    <row r="43" spans="1:7" ht="18.95" customHeight="1">
      <c r="A43" s="10">
        <v>46183</v>
      </c>
      <c r="B43" s="9">
        <v>46174</v>
      </c>
      <c r="C43" t="s">
        <v>46</v>
      </c>
      <c r="D43" t="s">
        <v>49</v>
      </c>
      <c r="E43" t="s">
        <v>50</v>
      </c>
      <c r="F43" s="11">
        <v>18860</v>
      </c>
      <c r="G43" t="s">
        <v>42</v>
      </c>
    </row>
    <row r="44" spans="1:7" ht="18.95" customHeight="1">
      <c r="A44" s="10">
        <v>46188</v>
      </c>
      <c r="B44" s="9">
        <v>46174</v>
      </c>
      <c r="C44" t="s">
        <v>46</v>
      </c>
      <c r="D44" t="s">
        <v>51</v>
      </c>
      <c r="E44" t="s">
        <v>52</v>
      </c>
      <c r="F44" s="11">
        <v>16400</v>
      </c>
      <c r="G44" t="s">
        <v>42</v>
      </c>
    </row>
    <row r="45" spans="1:7" ht="18.95" customHeight="1">
      <c r="A45" s="10">
        <v>46198</v>
      </c>
      <c r="B45" s="9">
        <v>46174</v>
      </c>
      <c r="C45" t="s">
        <v>46</v>
      </c>
      <c r="D45" t="s">
        <v>53</v>
      </c>
      <c r="E45" t="s">
        <v>54</v>
      </c>
      <c r="F45" s="11">
        <v>12300</v>
      </c>
      <c r="G45" t="s">
        <v>42</v>
      </c>
    </row>
    <row r="46" spans="1:7" ht="18.95" customHeight="1">
      <c r="A46" s="10">
        <v>46208</v>
      </c>
      <c r="B46" s="9">
        <v>46204</v>
      </c>
      <c r="C46" t="s">
        <v>39</v>
      </c>
      <c r="D46" t="s">
        <v>40</v>
      </c>
      <c r="E46" t="s">
        <v>41</v>
      </c>
      <c r="F46" s="11">
        <v>55550</v>
      </c>
      <c r="G46" t="s">
        <v>42</v>
      </c>
    </row>
    <row r="47" spans="1:7" ht="18.95" customHeight="1">
      <c r="A47" s="10">
        <v>46215</v>
      </c>
      <c r="B47" s="9">
        <v>46204</v>
      </c>
      <c r="C47" t="s">
        <v>39</v>
      </c>
      <c r="D47" t="s">
        <v>40</v>
      </c>
      <c r="E47" t="s">
        <v>43</v>
      </c>
      <c r="F47" s="11">
        <v>30300</v>
      </c>
      <c r="G47" t="s">
        <v>42</v>
      </c>
    </row>
    <row r="48" spans="1:7" ht="18.95" customHeight="1">
      <c r="A48" s="10">
        <v>46223</v>
      </c>
      <c r="B48" s="9">
        <v>46204</v>
      </c>
      <c r="C48" t="s">
        <v>39</v>
      </c>
      <c r="D48" t="s">
        <v>44</v>
      </c>
      <c r="E48" t="s">
        <v>45</v>
      </c>
      <c r="F48" s="11">
        <v>15150</v>
      </c>
      <c r="G48" t="s">
        <v>42</v>
      </c>
    </row>
    <row r="49" spans="1:7" ht="18.95" customHeight="1">
      <c r="A49" s="10">
        <v>46210</v>
      </c>
      <c r="B49" s="9">
        <v>46204</v>
      </c>
      <c r="C49" t="s">
        <v>46</v>
      </c>
      <c r="D49" t="s">
        <v>47</v>
      </c>
      <c r="E49" t="s">
        <v>48</v>
      </c>
      <c r="F49" s="11">
        <v>35490</v>
      </c>
      <c r="G49" t="s">
        <v>42</v>
      </c>
    </row>
    <row r="50" spans="1:7" ht="18.95" customHeight="1">
      <c r="A50" s="10">
        <v>46213</v>
      </c>
      <c r="B50" s="9">
        <v>46204</v>
      </c>
      <c r="C50" t="s">
        <v>46</v>
      </c>
      <c r="D50" t="s">
        <v>49</v>
      </c>
      <c r="E50" t="s">
        <v>50</v>
      </c>
      <c r="F50" s="11">
        <v>19435</v>
      </c>
      <c r="G50" t="s">
        <v>42</v>
      </c>
    </row>
    <row r="51" spans="1:7" ht="18.95" customHeight="1">
      <c r="A51" s="10">
        <v>46218</v>
      </c>
      <c r="B51" s="9">
        <v>46204</v>
      </c>
      <c r="C51" t="s">
        <v>46</v>
      </c>
      <c r="D51" t="s">
        <v>51</v>
      </c>
      <c r="E51" t="s">
        <v>52</v>
      </c>
      <c r="F51" s="11">
        <v>16900</v>
      </c>
      <c r="G51" t="s">
        <v>42</v>
      </c>
    </row>
    <row r="52" spans="1:7" ht="18.95" customHeight="1">
      <c r="A52" s="10">
        <v>46228</v>
      </c>
      <c r="B52" s="9">
        <v>46204</v>
      </c>
      <c r="C52" t="s">
        <v>46</v>
      </c>
      <c r="D52" t="s">
        <v>53</v>
      </c>
      <c r="E52" t="s">
        <v>54</v>
      </c>
      <c r="F52" s="11">
        <v>12675</v>
      </c>
      <c r="G52" t="s">
        <v>42</v>
      </c>
    </row>
    <row r="53" spans="1:7" ht="18.95" customHeight="1">
      <c r="A53" s="10">
        <v>46239</v>
      </c>
      <c r="B53" s="9">
        <v>46235</v>
      </c>
      <c r="C53" t="s">
        <v>39</v>
      </c>
      <c r="D53" t="s">
        <v>40</v>
      </c>
      <c r="E53" t="s">
        <v>41</v>
      </c>
      <c r="F53" s="11">
        <v>54450</v>
      </c>
      <c r="G53" t="s">
        <v>42</v>
      </c>
    </row>
    <row r="54" spans="1:7" ht="18.95" customHeight="1">
      <c r="A54" s="10">
        <v>46246</v>
      </c>
      <c r="B54" s="9">
        <v>46235</v>
      </c>
      <c r="C54" t="s">
        <v>39</v>
      </c>
      <c r="D54" t="s">
        <v>40</v>
      </c>
      <c r="E54" t="s">
        <v>43</v>
      </c>
      <c r="F54" s="11">
        <v>29700</v>
      </c>
      <c r="G54" t="s">
        <v>42</v>
      </c>
    </row>
    <row r="55" spans="1:7" ht="18.95" customHeight="1">
      <c r="A55" s="10">
        <v>46254</v>
      </c>
      <c r="B55" s="9">
        <v>46235</v>
      </c>
      <c r="C55" t="s">
        <v>39</v>
      </c>
      <c r="D55" t="s">
        <v>44</v>
      </c>
      <c r="E55" t="s">
        <v>45</v>
      </c>
      <c r="F55" s="11">
        <v>14850</v>
      </c>
      <c r="G55" t="s">
        <v>42</v>
      </c>
    </row>
    <row r="56" spans="1:7" ht="18.95" customHeight="1">
      <c r="A56" s="10">
        <v>46241</v>
      </c>
      <c r="B56" s="9">
        <v>46235</v>
      </c>
      <c r="C56" t="s">
        <v>46</v>
      </c>
      <c r="D56" t="s">
        <v>47</v>
      </c>
      <c r="E56" t="s">
        <v>48</v>
      </c>
      <c r="F56" s="11">
        <v>36120</v>
      </c>
      <c r="G56" t="s">
        <v>42</v>
      </c>
    </row>
    <row r="57" spans="1:7" ht="18.95" customHeight="1">
      <c r="A57" s="10">
        <v>46244</v>
      </c>
      <c r="B57" s="9">
        <v>46235</v>
      </c>
      <c r="C57" t="s">
        <v>46</v>
      </c>
      <c r="D57" t="s">
        <v>49</v>
      </c>
      <c r="E57" t="s">
        <v>50</v>
      </c>
      <c r="F57" s="11">
        <v>19780</v>
      </c>
      <c r="G57" t="s">
        <v>42</v>
      </c>
    </row>
    <row r="58" spans="1:7" ht="18.95" customHeight="1">
      <c r="A58" s="10">
        <v>46249</v>
      </c>
      <c r="B58" s="9">
        <v>46235</v>
      </c>
      <c r="C58" t="s">
        <v>46</v>
      </c>
      <c r="D58" t="s">
        <v>51</v>
      </c>
      <c r="E58" t="s">
        <v>52</v>
      </c>
      <c r="F58" s="11">
        <v>17200</v>
      </c>
      <c r="G58" t="s">
        <v>42</v>
      </c>
    </row>
    <row r="59" spans="1:7" ht="18.95" customHeight="1">
      <c r="A59" s="10">
        <v>46259</v>
      </c>
      <c r="B59" s="9">
        <v>46235</v>
      </c>
      <c r="C59" t="s">
        <v>46</v>
      </c>
      <c r="D59" t="s">
        <v>53</v>
      </c>
      <c r="E59" t="s">
        <v>54</v>
      </c>
      <c r="F59" s="11">
        <v>12900</v>
      </c>
      <c r="G59" t="s">
        <v>42</v>
      </c>
    </row>
    <row r="60" spans="1:7" ht="18.95" customHeight="1"/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showGridLines="0" showRowColHeaders="0" zoomScale="90" zoomScaleNormal="90" workbookViewId="0">
      <selection activeCell="D19" sqref="D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34" customWidth="1"/>
    <col min="2" max="2" width="18" customWidth="1"/>
    <col min="4" max="4" width="19.375" bestFit="1" customWidth="1"/>
    <col min="5" max="6" width="18" customWidth="1"/>
  </cols>
  <sheetData>
    <row r="1" spans="1:6" ht="18.95" customHeight="1">
      <c r="A1" s="72" t="s">
        <v>55</v>
      </c>
      <c r="B1" s="72"/>
      <c r="C1" s="72"/>
      <c r="D1" s="72"/>
      <c r="E1" s="72"/>
      <c r="F1" s="72"/>
    </row>
    <row r="2" spans="1:6" ht="18.95" customHeight="1"/>
    <row r="3" spans="1:6" ht="18.95" customHeight="1">
      <c r="A3" s="1" t="s">
        <v>56</v>
      </c>
      <c r="B3" s="1" t="s">
        <v>57</v>
      </c>
      <c r="D3" s="1" t="s">
        <v>58</v>
      </c>
      <c r="E3" s="1" t="s">
        <v>2</v>
      </c>
      <c r="F3" s="1" t="s">
        <v>3</v>
      </c>
    </row>
    <row r="4" spans="1:6" ht="18.95" customHeight="1">
      <c r="A4" t="s">
        <v>59</v>
      </c>
      <c r="B4" s="2">
        <v>50000</v>
      </c>
      <c r="D4" t="s">
        <v>60</v>
      </c>
      <c r="E4" s="6">
        <v>-0.05</v>
      </c>
      <c r="F4" s="6">
        <v>0.05</v>
      </c>
    </row>
    <row r="5" spans="1:6" ht="18.95" customHeight="1">
      <c r="A5" t="s">
        <v>61</v>
      </c>
      <c r="B5" s="3">
        <v>0.03</v>
      </c>
      <c r="D5" t="s">
        <v>62</v>
      </c>
      <c r="E5" s="6">
        <v>0</v>
      </c>
      <c r="F5" s="6">
        <v>0</v>
      </c>
    </row>
    <row r="6" spans="1:6" ht="18.95" customHeight="1">
      <c r="A6" t="s">
        <v>63</v>
      </c>
      <c r="B6" s="3">
        <v>0.02</v>
      </c>
      <c r="D6" t="s">
        <v>64</v>
      </c>
      <c r="E6" s="6">
        <v>0.08</v>
      </c>
      <c r="F6" s="6">
        <v>-0.03</v>
      </c>
    </row>
    <row r="7" spans="1:6" ht="18.95" customHeight="1">
      <c r="A7" t="s">
        <v>65</v>
      </c>
      <c r="B7" s="3">
        <v>0.35</v>
      </c>
      <c r="D7" s="5" t="s">
        <v>66</v>
      </c>
      <c r="E7" s="7" t="s">
        <v>62</v>
      </c>
    </row>
    <row r="8" spans="1:6" ht="18.95" customHeight="1">
      <c r="A8" t="s">
        <v>67</v>
      </c>
      <c r="B8" s="3">
        <v>0.45</v>
      </c>
    </row>
    <row r="9" spans="1:6" ht="18.95" customHeight="1">
      <c r="A9" t="s">
        <v>68</v>
      </c>
      <c r="B9" s="4">
        <v>1.2</v>
      </c>
      <c r="D9" s="12" t="s">
        <v>69</v>
      </c>
      <c r="E9" s="12" t="s">
        <v>2</v>
      </c>
      <c r="F9" s="12" t="s">
        <v>3</v>
      </c>
    </row>
    <row r="10" spans="1:6" ht="18.95" customHeight="1">
      <c r="D10" t="s">
        <v>57</v>
      </c>
      <c r="E10" s="13">
        <f>IF(E7="Conservador",E4,IF(E7="Otimista",E6,E5))</f>
        <v>0</v>
      </c>
      <c r="F10" s="13">
        <f>IF(E7="Conservador",F4,IF(E7="Otimista",F6,F5))</f>
        <v>0</v>
      </c>
    </row>
    <row r="11" spans="1:6" ht="18.95" customHeight="1">
      <c r="A11" s="73" t="s">
        <v>70</v>
      </c>
      <c r="B11" s="74"/>
      <c r="C11" s="74"/>
      <c r="D11" s="74"/>
      <c r="E11" s="74"/>
      <c r="F11" s="74"/>
    </row>
    <row r="12" spans="1:6" ht="18.95" customHeight="1">
      <c r="A12" t="s">
        <v>71</v>
      </c>
      <c r="B12" s="74" t="s">
        <v>72</v>
      </c>
      <c r="C12" s="74"/>
      <c r="D12" s="74"/>
      <c r="E12" s="74"/>
      <c r="F12" s="74"/>
    </row>
    <row r="13" spans="1:6" ht="18.95" customHeight="1">
      <c r="A13" t="s">
        <v>73</v>
      </c>
      <c r="B13" s="74" t="s">
        <v>74</v>
      </c>
      <c r="C13" s="74"/>
      <c r="D13" s="74"/>
      <c r="E13" s="74"/>
      <c r="F13" s="74"/>
    </row>
    <row r="14" spans="1:6" ht="18.95" customHeight="1">
      <c r="A14" t="s">
        <v>75</v>
      </c>
      <c r="B14" s="74" t="s">
        <v>76</v>
      </c>
      <c r="C14" s="74"/>
      <c r="D14" s="74"/>
      <c r="E14" s="74"/>
      <c r="F14" s="74"/>
    </row>
    <row r="15" spans="1:6" ht="18.95" customHeight="1"/>
    <row r="16" spans="1:6" ht="18.95" customHeight="1"/>
    <row r="17" ht="18.95" customHeight="1"/>
    <row r="18" ht="18.95" customHeight="1"/>
    <row r="19" ht="18.95" customHeight="1"/>
    <row r="20" ht="18.95" customHeight="1"/>
    <row r="21" ht="18.95" customHeight="1"/>
    <row r="22" ht="18.95" customHeight="1"/>
    <row r="23" ht="18.95" customHeight="1"/>
    <row r="24" ht="18.95" customHeight="1"/>
    <row r="25" ht="18.95" customHeight="1"/>
    <row r="26" ht="18.95" customHeight="1"/>
    <row r="27" ht="18.95" customHeight="1"/>
    <row r="28" ht="18.95" customHeight="1"/>
    <row r="29" ht="18.95" customHeight="1"/>
    <row r="30" ht="18.95" customHeight="1"/>
    <row r="31" ht="18.95" customHeight="1"/>
    <row r="32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5">
    <mergeCell ref="A1:F1"/>
    <mergeCell ref="A11:F11"/>
    <mergeCell ref="B12:F12"/>
    <mergeCell ref="B13:F13"/>
    <mergeCell ref="B14:F14"/>
  </mergeCells>
  <dataValidations count="1">
    <dataValidation type="list" sqref="E7" xr:uid="{00000000-0002-0000-0200-000000000000}">
      <formula1>"Conservador,Base,Otimista"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showGridLines="0" showRowColHeaders="0" zoomScale="90" zoomScaleNormal="90" workbookViewId="0">
      <selection activeCell="G22" sqref="G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2" width="13" customWidth="1"/>
    <col min="3" max="9" width="18" customWidth="1"/>
    <col min="10" max="10" width="12" customWidth="1"/>
  </cols>
  <sheetData>
    <row r="1" spans="1:10" ht="18.95" customHeight="1">
      <c r="A1" s="71" t="s">
        <v>77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8.95" customHeight="1"/>
    <row r="3" spans="1:10" ht="18.95" customHeight="1">
      <c r="A3" s="14" t="s">
        <v>1</v>
      </c>
      <c r="B3" s="14" t="s">
        <v>37</v>
      </c>
      <c r="C3" s="14" t="s">
        <v>9</v>
      </c>
      <c r="D3" s="14" t="s">
        <v>78</v>
      </c>
      <c r="E3" s="14" t="s">
        <v>79</v>
      </c>
      <c r="F3" s="14" t="s">
        <v>80</v>
      </c>
      <c r="G3" s="14" t="s">
        <v>81</v>
      </c>
      <c r="H3" s="14" t="s">
        <v>82</v>
      </c>
      <c r="I3" s="14" t="s">
        <v>83</v>
      </c>
      <c r="J3" s="14" t="s">
        <v>5</v>
      </c>
    </row>
    <row r="4" spans="1:10" ht="18.95" customHeight="1">
      <c r="A4" s="9">
        <v>46023</v>
      </c>
      <c r="B4" s="17" t="s">
        <v>42</v>
      </c>
      <c r="C4" s="18">
        <f>Premissas!B4</f>
        <v>50000</v>
      </c>
      <c r="D4" s="18">
        <f>SUMIFS(Base_Lancamentos!$F$4:$F$59,Base_Lancamentos!$B$4:$B$59,$A4,Base_Lancamentos!$C$4:$C$59,"Entrada")</f>
        <v>82000</v>
      </c>
      <c r="E4" s="18">
        <f>SUMIFS(Base_Lancamentos!$F$4:$F$59,Base_Lancamentos!$B$4:$B$59,$A4,Base_Lancamentos!$C$4:$C$59,"Saída")</f>
        <v>68000</v>
      </c>
      <c r="F4" s="11">
        <f t="shared" ref="F4:F15" si="0">D4-E4</f>
        <v>14000</v>
      </c>
      <c r="G4" s="11">
        <f t="shared" ref="G4:G15" si="1">C4+F4</f>
        <v>64000</v>
      </c>
      <c r="H4" s="18">
        <f>D4*Premissas!$B$7</f>
        <v>28699.999999999996</v>
      </c>
      <c r="I4" s="18">
        <f>E4*Premissas!$B$8</f>
        <v>30600</v>
      </c>
      <c r="J4" s="15">
        <f t="shared" ref="J4:J15" si="2">IF(I4=0,0,(G4+H4)/I4)</f>
        <v>3.0294117647058822</v>
      </c>
    </row>
    <row r="5" spans="1:10" ht="18.95" customHeight="1">
      <c r="A5" s="9">
        <v>46054</v>
      </c>
      <c r="B5" s="17" t="s">
        <v>42</v>
      </c>
      <c r="C5" s="11">
        <f t="shared" ref="C5:C15" si="3">G4</f>
        <v>64000</v>
      </c>
      <c r="D5" s="18">
        <f>SUMIFS(Base_Lancamentos!$F$4:$F$59,Base_Lancamentos!$B$4:$B$59,$A5,Base_Lancamentos!$C$4:$C$59,"Entrada")</f>
        <v>79000</v>
      </c>
      <c r="E5" s="18">
        <f>SUMIFS(Base_Lancamentos!$F$4:$F$59,Base_Lancamentos!$B$4:$B$59,$A5,Base_Lancamentos!$C$4:$C$59,"Saída")</f>
        <v>72000</v>
      </c>
      <c r="F5" s="11">
        <f t="shared" si="0"/>
        <v>7000</v>
      </c>
      <c r="G5" s="11">
        <f t="shared" si="1"/>
        <v>71000</v>
      </c>
      <c r="H5" s="18">
        <f>D5*Premissas!$B$7</f>
        <v>27650</v>
      </c>
      <c r="I5" s="18">
        <f>E5*Premissas!$B$8</f>
        <v>32400</v>
      </c>
      <c r="J5" s="15">
        <f t="shared" si="2"/>
        <v>3.0447530864197532</v>
      </c>
    </row>
    <row r="6" spans="1:10" ht="18.95" customHeight="1">
      <c r="A6" s="9">
        <v>46082</v>
      </c>
      <c r="B6" s="17" t="s">
        <v>42</v>
      </c>
      <c r="C6" s="11">
        <f t="shared" si="3"/>
        <v>71000</v>
      </c>
      <c r="D6" s="18">
        <f>SUMIFS(Base_Lancamentos!$F$4:$F$59,Base_Lancamentos!$B$4:$B$59,$A6,Base_Lancamentos!$C$4:$C$59,"Entrada")</f>
        <v>91000</v>
      </c>
      <c r="E6" s="18">
        <f>SUMIFS(Base_Lancamentos!$F$4:$F$59,Base_Lancamentos!$B$4:$B$59,$A6,Base_Lancamentos!$C$4:$C$59,"Saída")</f>
        <v>74500</v>
      </c>
      <c r="F6" s="11">
        <f t="shared" si="0"/>
        <v>16500</v>
      </c>
      <c r="G6" s="11">
        <f t="shared" si="1"/>
        <v>87500</v>
      </c>
      <c r="H6" s="18">
        <f>D6*Premissas!$B$7</f>
        <v>31849.999999999996</v>
      </c>
      <c r="I6" s="18">
        <f>E6*Premissas!$B$8</f>
        <v>33525</v>
      </c>
      <c r="J6" s="15">
        <f t="shared" si="2"/>
        <v>3.5600298284862042</v>
      </c>
    </row>
    <row r="7" spans="1:10" ht="18.95" customHeight="1">
      <c r="A7" s="9">
        <v>46113</v>
      </c>
      <c r="B7" s="17" t="s">
        <v>42</v>
      </c>
      <c r="C7" s="11">
        <f t="shared" si="3"/>
        <v>87500</v>
      </c>
      <c r="D7" s="18">
        <f>SUMIFS(Base_Lancamentos!$F$4:$F$59,Base_Lancamentos!$B$4:$B$59,$A7,Base_Lancamentos!$C$4:$C$59,"Entrada")</f>
        <v>87000</v>
      </c>
      <c r="E7" s="18">
        <f>SUMIFS(Base_Lancamentos!$F$4:$F$59,Base_Lancamentos!$B$4:$B$59,$A7,Base_Lancamentos!$C$4:$C$59,"Saída")</f>
        <v>76000</v>
      </c>
      <c r="F7" s="11">
        <f t="shared" si="0"/>
        <v>11000</v>
      </c>
      <c r="G7" s="11">
        <f t="shared" si="1"/>
        <v>98500</v>
      </c>
      <c r="H7" s="18">
        <f>D7*Premissas!$B$7</f>
        <v>30449.999999999996</v>
      </c>
      <c r="I7" s="18">
        <f>E7*Premissas!$B$8</f>
        <v>34200</v>
      </c>
      <c r="J7" s="15">
        <f t="shared" si="2"/>
        <v>3.7704678362573101</v>
      </c>
    </row>
    <row r="8" spans="1:10" ht="18.95" customHeight="1">
      <c r="A8" s="9">
        <v>46143</v>
      </c>
      <c r="B8" s="17" t="s">
        <v>42</v>
      </c>
      <c r="C8" s="11">
        <f t="shared" si="3"/>
        <v>98500</v>
      </c>
      <c r="D8" s="18">
        <f>SUMIFS(Base_Lancamentos!$F$4:$F$59,Base_Lancamentos!$B$4:$B$59,$A8,Base_Lancamentos!$C$4:$C$59,"Entrada")</f>
        <v>94000</v>
      </c>
      <c r="E8" s="18">
        <f>SUMIFS(Base_Lancamentos!$F$4:$F$59,Base_Lancamentos!$B$4:$B$59,$A8,Base_Lancamentos!$C$4:$C$59,"Saída")</f>
        <v>78500</v>
      </c>
      <c r="F8" s="11">
        <f t="shared" si="0"/>
        <v>15500</v>
      </c>
      <c r="G8" s="11">
        <f t="shared" si="1"/>
        <v>114000</v>
      </c>
      <c r="H8" s="18">
        <f>D8*Premissas!$B$7</f>
        <v>32900</v>
      </c>
      <c r="I8" s="18">
        <f>E8*Premissas!$B$8</f>
        <v>35325</v>
      </c>
      <c r="J8" s="15">
        <f t="shared" si="2"/>
        <v>4.1585279547062983</v>
      </c>
    </row>
    <row r="9" spans="1:10" ht="18.95" customHeight="1">
      <c r="A9" s="9">
        <v>46174</v>
      </c>
      <c r="B9" s="17" t="s">
        <v>42</v>
      </c>
      <c r="C9" s="11">
        <f t="shared" si="3"/>
        <v>114000</v>
      </c>
      <c r="D9" s="18">
        <f>SUMIFS(Base_Lancamentos!$F$4:$F$59,Base_Lancamentos!$B$4:$B$59,$A9,Base_Lancamentos!$C$4:$C$59,"Entrada")</f>
        <v>97000</v>
      </c>
      <c r="E9" s="18">
        <f>SUMIFS(Base_Lancamentos!$F$4:$F$59,Base_Lancamentos!$B$4:$B$59,$A9,Base_Lancamentos!$C$4:$C$59,"Saída")</f>
        <v>82000</v>
      </c>
      <c r="F9" s="11">
        <f t="shared" si="0"/>
        <v>15000</v>
      </c>
      <c r="G9" s="11">
        <f t="shared" si="1"/>
        <v>129000</v>
      </c>
      <c r="H9" s="18">
        <f>D9*Premissas!$B$7</f>
        <v>33950</v>
      </c>
      <c r="I9" s="18">
        <f>E9*Premissas!$B$8</f>
        <v>36900</v>
      </c>
      <c r="J9" s="15">
        <f t="shared" si="2"/>
        <v>4.4159891598915992</v>
      </c>
    </row>
    <row r="10" spans="1:10" ht="18.95" customHeight="1">
      <c r="A10" s="9">
        <v>46204</v>
      </c>
      <c r="B10" s="17" t="s">
        <v>42</v>
      </c>
      <c r="C10" s="11">
        <f t="shared" si="3"/>
        <v>129000</v>
      </c>
      <c r="D10" s="18">
        <f>SUMIFS(Base_Lancamentos!$F$4:$F$59,Base_Lancamentos!$B$4:$B$59,$A10,Base_Lancamentos!$C$4:$C$59,"Entrada")</f>
        <v>101000</v>
      </c>
      <c r="E10" s="18">
        <f>SUMIFS(Base_Lancamentos!$F$4:$F$59,Base_Lancamentos!$B$4:$B$59,$A10,Base_Lancamentos!$C$4:$C$59,"Saída")</f>
        <v>84500</v>
      </c>
      <c r="F10" s="11">
        <f t="shared" si="0"/>
        <v>16500</v>
      </c>
      <c r="G10" s="11">
        <f t="shared" si="1"/>
        <v>145500</v>
      </c>
      <c r="H10" s="18">
        <f>D10*Premissas!$B$7</f>
        <v>35350</v>
      </c>
      <c r="I10" s="18">
        <f>E10*Premissas!$B$8</f>
        <v>38025</v>
      </c>
      <c r="J10" s="15">
        <f t="shared" si="2"/>
        <v>4.7560815253122941</v>
      </c>
    </row>
    <row r="11" spans="1:10" ht="18.95" customHeight="1">
      <c r="A11" s="9">
        <v>46235</v>
      </c>
      <c r="B11" s="17" t="s">
        <v>42</v>
      </c>
      <c r="C11" s="11">
        <f t="shared" si="3"/>
        <v>145500</v>
      </c>
      <c r="D11" s="18">
        <f>SUMIFS(Base_Lancamentos!$F$4:$F$59,Base_Lancamentos!$B$4:$B$59,$A11,Base_Lancamentos!$C$4:$C$59,"Entrada")</f>
        <v>99000</v>
      </c>
      <c r="E11" s="18">
        <f>SUMIFS(Base_Lancamentos!$F$4:$F$59,Base_Lancamentos!$B$4:$B$59,$A11,Base_Lancamentos!$C$4:$C$59,"Saída")</f>
        <v>86000</v>
      </c>
      <c r="F11" s="11">
        <f t="shared" si="0"/>
        <v>13000</v>
      </c>
      <c r="G11" s="11">
        <f t="shared" si="1"/>
        <v>158500</v>
      </c>
      <c r="H11" s="18">
        <f>D11*Premissas!$B$7</f>
        <v>34650</v>
      </c>
      <c r="I11" s="18">
        <f>E11*Premissas!$B$8</f>
        <v>38700</v>
      </c>
      <c r="J11" s="15">
        <f t="shared" si="2"/>
        <v>4.9909560723514215</v>
      </c>
    </row>
    <row r="12" spans="1:10" ht="18.95" customHeight="1">
      <c r="A12" s="9">
        <v>46266</v>
      </c>
      <c r="B12" s="16" t="s">
        <v>84</v>
      </c>
      <c r="C12" s="11">
        <f t="shared" si="3"/>
        <v>158500</v>
      </c>
      <c r="D12" s="18">
        <f>D11*(1+Premissas!$B$5+Premissas!$E$10)</f>
        <v>101970</v>
      </c>
      <c r="E12" s="18">
        <f>E11*(1+Premissas!$B$6+Premissas!$F$10)</f>
        <v>87720</v>
      </c>
      <c r="F12" s="11">
        <f t="shared" si="0"/>
        <v>14250</v>
      </c>
      <c r="G12" s="11">
        <f t="shared" si="1"/>
        <v>172750</v>
      </c>
      <c r="H12" s="18">
        <f>D12*Premissas!$B$7</f>
        <v>35689.5</v>
      </c>
      <c r="I12" s="18">
        <f>E12*Premissas!$B$8</f>
        <v>39474</v>
      </c>
      <c r="J12" s="15">
        <f t="shared" si="2"/>
        <v>5.2804250899326135</v>
      </c>
    </row>
    <row r="13" spans="1:10" ht="18.95" customHeight="1">
      <c r="A13" s="9">
        <v>46296</v>
      </c>
      <c r="B13" s="16" t="s">
        <v>84</v>
      </c>
      <c r="C13" s="11">
        <f t="shared" si="3"/>
        <v>172750</v>
      </c>
      <c r="D13" s="18">
        <f>D12*(1+Premissas!$B$5+Premissas!$E$10)</f>
        <v>105029.1</v>
      </c>
      <c r="E13" s="18">
        <f>E12*(1+Premissas!$B$6+Premissas!$F$10)</f>
        <v>89474.400000000009</v>
      </c>
      <c r="F13" s="11">
        <f t="shared" si="0"/>
        <v>15554.699999999997</v>
      </c>
      <c r="G13" s="11">
        <f t="shared" si="1"/>
        <v>188304.7</v>
      </c>
      <c r="H13" s="18">
        <f>D13*Premissas!$B$7</f>
        <v>36760.184999999998</v>
      </c>
      <c r="I13" s="18">
        <f>E13*Premissas!$B$8</f>
        <v>40263.480000000003</v>
      </c>
      <c r="J13" s="15">
        <f t="shared" si="2"/>
        <v>5.5898020985766754</v>
      </c>
    </row>
    <row r="14" spans="1:10" ht="18.95" customHeight="1">
      <c r="A14" s="9">
        <v>46327</v>
      </c>
      <c r="B14" s="16" t="s">
        <v>84</v>
      </c>
      <c r="C14" s="11">
        <f t="shared" si="3"/>
        <v>188304.7</v>
      </c>
      <c r="D14" s="18">
        <f>D13*(1+Premissas!$B$5+Premissas!$E$10)</f>
        <v>108179.97300000001</v>
      </c>
      <c r="E14" s="18">
        <f>E13*(1+Premissas!$B$6+Premissas!$F$10)</f>
        <v>91263.888000000006</v>
      </c>
      <c r="F14" s="11">
        <f t="shared" si="0"/>
        <v>16916.085000000006</v>
      </c>
      <c r="G14" s="11">
        <f t="shared" si="1"/>
        <v>205220.78500000003</v>
      </c>
      <c r="H14" s="18">
        <f>D14*Premissas!$B$7</f>
        <v>37862.990550000002</v>
      </c>
      <c r="I14" s="18">
        <f>E14*Premissas!$B$8</f>
        <v>41068.749600000003</v>
      </c>
      <c r="J14" s="15">
        <f t="shared" si="2"/>
        <v>5.9189475676172032</v>
      </c>
    </row>
    <row r="15" spans="1:10" ht="18.95" customHeight="1">
      <c r="A15" s="9">
        <v>46357</v>
      </c>
      <c r="B15" s="16" t="s">
        <v>84</v>
      </c>
      <c r="C15" s="11">
        <f t="shared" si="3"/>
        <v>205220.78500000003</v>
      </c>
      <c r="D15" s="18">
        <f>D14*(1+Premissas!$B$5+Premissas!$E$10)</f>
        <v>111425.37219000001</v>
      </c>
      <c r="E15" s="18">
        <f>E14*(1+Premissas!$B$6+Premissas!$F$10)</f>
        <v>93089.165760000004</v>
      </c>
      <c r="F15" s="11">
        <f t="shared" si="0"/>
        <v>18336.206430000006</v>
      </c>
      <c r="G15" s="11">
        <f t="shared" si="1"/>
        <v>223556.99143000005</v>
      </c>
      <c r="H15" s="18">
        <f>D15*Premissas!$B$7</f>
        <v>38998.880266500004</v>
      </c>
      <c r="I15" s="18">
        <f>E15*Premissas!$B$8</f>
        <v>41890.124592</v>
      </c>
      <c r="J15" s="15">
        <f t="shared" si="2"/>
        <v>6.2677271613234078</v>
      </c>
    </row>
    <row r="16" spans="1:10" ht="18.95" customHeight="1"/>
    <row r="17" ht="18.95" customHeight="1"/>
    <row r="18" ht="18.95" customHeight="1"/>
    <row r="19" ht="18.95" customHeight="1"/>
    <row r="20" ht="18.95" customHeight="1"/>
    <row r="21" ht="18.95" customHeight="1"/>
    <row r="22" ht="18.95" customHeight="1"/>
    <row r="23" ht="18.95" customHeight="1"/>
    <row r="24" ht="18.95" customHeight="1"/>
    <row r="25" ht="18.95" customHeight="1"/>
    <row r="26" ht="18.95" customHeight="1"/>
    <row r="27" ht="18.95" customHeight="1"/>
    <row r="28" ht="18.95" customHeight="1"/>
    <row r="29" ht="18.95" customHeight="1"/>
    <row r="30" ht="18.95" customHeight="1"/>
    <row r="31" ht="18.95" customHeight="1"/>
    <row r="32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1">
    <mergeCell ref="A1:J1"/>
  </mergeCells>
  <conditionalFormatting sqref="F4:F15">
    <cfRule type="expression" dxfId="15" priority="1">
      <formula>F4&lt;0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J4&lt;Premissas!$B$9</xm:f>
            <x14:dxf>
              <font>
                <b/>
                <color rgb="FFC00000"/>
              </font>
              <fill>
                <patternFill>
                  <bgColor rgb="FFF4CCCC"/>
                </patternFill>
              </fill>
            </x14:dxf>
          </x14:cfRule>
          <x14:cfRule type="expression" priority="3" id="{00000000-000E-0000-0300-000003000000}">
            <xm:f>J4&gt;=Premissas!$B$9</xm:f>
            <x14:dxf>
              <font>
                <b/>
                <color rgb="FF38761D"/>
              </font>
              <fill>
                <patternFill>
                  <bgColor rgb="FFD9EAD3"/>
                </patternFill>
              </fill>
            </x14:dxf>
          </x14:cfRule>
          <xm:sqref>J4:J15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showRowColHeaders="0" zoomScale="80" zoomScaleNormal="80" workbookViewId="0">
      <selection activeCell="C21" sqref="C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34" customWidth="1"/>
    <col min="2" max="2" width="16" customWidth="1"/>
    <col min="3" max="3" width="42" customWidth="1"/>
  </cols>
  <sheetData>
    <row r="1" spans="1:6" ht="20.100000000000001" customHeight="1">
      <c r="A1" s="75" t="s">
        <v>85</v>
      </c>
      <c r="B1" s="75"/>
      <c r="C1" s="75"/>
      <c r="D1" s="75"/>
      <c r="E1" s="75"/>
      <c r="F1" s="75"/>
    </row>
    <row r="2" spans="1:6" ht="20.100000000000001" customHeight="1"/>
    <row r="3" spans="1:6" ht="20.100000000000001" customHeight="1">
      <c r="A3" s="21" t="s">
        <v>56</v>
      </c>
      <c r="B3" s="21" t="s">
        <v>57</v>
      </c>
      <c r="C3" s="21" t="s">
        <v>86</v>
      </c>
    </row>
    <row r="4" spans="1:6" ht="20.100000000000001" customHeight="1">
      <c r="A4" t="s">
        <v>87</v>
      </c>
      <c r="B4" s="23">
        <v>8</v>
      </c>
      <c r="C4" t="s">
        <v>88</v>
      </c>
    </row>
    <row r="5" spans="1:6" ht="20.100000000000001" customHeight="1">
      <c r="A5" t="s">
        <v>89</v>
      </c>
      <c r="B5" s="22">
        <v>0.03</v>
      </c>
      <c r="C5" t="s">
        <v>90</v>
      </c>
    </row>
    <row r="6" spans="1:6" ht="20.100000000000001" customHeight="1">
      <c r="A6" t="s">
        <v>91</v>
      </c>
      <c r="B6" s="22">
        <v>0.01</v>
      </c>
      <c r="C6" t="s">
        <v>90</v>
      </c>
    </row>
    <row r="7" spans="1:6" ht="20.100000000000001" customHeight="1">
      <c r="A7" t="s">
        <v>92</v>
      </c>
      <c r="B7" s="22">
        <v>0.02</v>
      </c>
      <c r="C7" t="s">
        <v>90</v>
      </c>
    </row>
    <row r="8" spans="1:6" ht="20.100000000000001" customHeight="1">
      <c r="A8" t="s">
        <v>93</v>
      </c>
      <c r="B8" s="22">
        <v>1.4999999999999999E-2</v>
      </c>
      <c r="C8" t="s">
        <v>90</v>
      </c>
    </row>
    <row r="9" spans="1:6" ht="20.100000000000001" customHeight="1">
      <c r="A9" t="s">
        <v>94</v>
      </c>
      <c r="B9" s="22">
        <v>1.7999999999999999E-2</v>
      </c>
      <c r="C9" t="s">
        <v>90</v>
      </c>
    </row>
    <row r="10" spans="1:6" ht="20.100000000000001" customHeight="1">
      <c r="A10" t="s">
        <v>95</v>
      </c>
      <c r="B10" s="22">
        <v>1.2E-2</v>
      </c>
      <c r="C10" t="s">
        <v>90</v>
      </c>
    </row>
    <row r="11" spans="1:6" ht="20.100000000000001" customHeight="1">
      <c r="A11" t="s">
        <v>96</v>
      </c>
      <c r="B11" s="22">
        <v>0.18</v>
      </c>
      <c r="C11" t="s">
        <v>97</v>
      </c>
    </row>
    <row r="12" spans="1:6" ht="20.100000000000001" customHeight="1">
      <c r="A12" t="s">
        <v>98</v>
      </c>
      <c r="B12" s="22">
        <v>1.2</v>
      </c>
      <c r="C12" t="s">
        <v>99</v>
      </c>
    </row>
    <row r="13" spans="1:6" ht="20.100000000000001" customHeight="1"/>
    <row r="14" spans="1:6" ht="20.100000000000001" customHeight="1">
      <c r="A14" s="76" t="s">
        <v>100</v>
      </c>
      <c r="B14" s="76"/>
      <c r="C14" s="76"/>
      <c r="D14" s="76"/>
      <c r="E14" s="76"/>
      <c r="F14" s="76"/>
    </row>
  </sheetData>
  <mergeCells count="2">
    <mergeCell ref="A1:F1"/>
    <mergeCell ref="A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showGridLines="0" showRowColHeaders="0" zoomScale="90" zoomScaleNormal="90" workbookViewId="0">
      <selection activeCell="L12" sqref="L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12" customWidth="1"/>
    <col min="2" max="2" width="26" customWidth="1"/>
    <col min="3" max="3" width="12" customWidth="1"/>
    <col min="4" max="6" width="16" customWidth="1"/>
    <col min="7" max="8" width="18" customWidth="1"/>
  </cols>
  <sheetData>
    <row r="1" spans="1:8" ht="19.5">
      <c r="A1" s="77" t="s">
        <v>101</v>
      </c>
      <c r="B1" s="77"/>
      <c r="C1" s="77"/>
      <c r="D1" s="77"/>
      <c r="E1" s="77"/>
      <c r="F1" s="77"/>
      <c r="G1" s="77"/>
      <c r="H1" s="77"/>
    </row>
    <row r="3" spans="1:8" ht="15">
      <c r="A3" s="24" t="s">
        <v>1</v>
      </c>
      <c r="B3" s="24" t="s">
        <v>34</v>
      </c>
      <c r="C3" s="24" t="s">
        <v>33</v>
      </c>
      <c r="D3" s="24" t="s">
        <v>102</v>
      </c>
      <c r="E3" s="24" t="s">
        <v>103</v>
      </c>
      <c r="F3" s="24" t="s">
        <v>104</v>
      </c>
      <c r="G3" s="24" t="s">
        <v>105</v>
      </c>
      <c r="H3" s="24" t="s">
        <v>106</v>
      </c>
    </row>
    <row r="4" spans="1:8">
      <c r="A4" s="9">
        <v>46023</v>
      </c>
      <c r="B4" t="s">
        <v>40</v>
      </c>
      <c r="C4" t="s">
        <v>107</v>
      </c>
      <c r="D4" s="26">
        <v>70000</v>
      </c>
      <c r="E4" s="18">
        <f>SUMIFS(Base_Lancamentos!$F$4:$F$59,Base_Lancamentos!$B$4:$B$59,$A4,Base_Lancamentos!$D$4:$D$59,$B4)</f>
        <v>69700</v>
      </c>
      <c r="F4" s="18">
        <f t="shared" ref="F4:F51" si="0">E4</f>
        <v>69700</v>
      </c>
      <c r="G4" s="18">
        <f t="shared" ref="G4:G35" si="1">F4-D4</f>
        <v>-300</v>
      </c>
      <c r="H4" s="27">
        <f t="shared" ref="H4:H35" si="2">IF(D4=0,0,G4/D4)</f>
        <v>-4.2857142857142859E-3</v>
      </c>
    </row>
    <row r="5" spans="1:8">
      <c r="A5" s="9">
        <v>46023</v>
      </c>
      <c r="B5" t="s">
        <v>44</v>
      </c>
      <c r="C5" t="s">
        <v>107</v>
      </c>
      <c r="D5" s="26">
        <v>12500</v>
      </c>
      <c r="E5" s="18">
        <f>SUMIFS(Base_Lancamentos!$F$4:$F$59,Base_Lancamentos!$B$4:$B$59,$A5,Base_Lancamentos!$D$4:$D$59,$B5)</f>
        <v>12300</v>
      </c>
      <c r="F5" s="18">
        <f t="shared" si="0"/>
        <v>12300</v>
      </c>
      <c r="G5" s="18">
        <f t="shared" si="1"/>
        <v>-200</v>
      </c>
      <c r="H5" s="27">
        <f t="shared" si="2"/>
        <v>-1.6E-2</v>
      </c>
    </row>
    <row r="6" spans="1:8">
      <c r="A6" s="9">
        <v>46023</v>
      </c>
      <c r="B6" t="s">
        <v>49</v>
      </c>
      <c r="C6" t="s">
        <v>108</v>
      </c>
      <c r="D6" s="26">
        <v>16500</v>
      </c>
      <c r="E6" s="18">
        <f>SUMIFS(Base_Lancamentos!$F$4:$F$59,Base_Lancamentos!$B$4:$B$59,$A6,Base_Lancamentos!$D$4:$D$59,$B6)</f>
        <v>15640</v>
      </c>
      <c r="F6" s="18">
        <f t="shared" si="0"/>
        <v>15640</v>
      </c>
      <c r="G6" s="18">
        <f t="shared" si="1"/>
        <v>-860</v>
      </c>
      <c r="H6" s="27">
        <f t="shared" si="2"/>
        <v>-5.2121212121212124E-2</v>
      </c>
    </row>
    <row r="7" spans="1:8">
      <c r="A7" s="9">
        <v>46023</v>
      </c>
      <c r="B7" t="s">
        <v>47</v>
      </c>
      <c r="C7" t="s">
        <v>108</v>
      </c>
      <c r="D7" s="26">
        <v>30000</v>
      </c>
      <c r="E7" s="18">
        <f>SUMIFS(Base_Lancamentos!$F$4:$F$59,Base_Lancamentos!$B$4:$B$59,$A7,Base_Lancamentos!$D$4:$D$59,$B7)</f>
        <v>28560</v>
      </c>
      <c r="F7" s="18">
        <f t="shared" si="0"/>
        <v>28560</v>
      </c>
      <c r="G7" s="18">
        <f t="shared" si="1"/>
        <v>-1440</v>
      </c>
      <c r="H7" s="27">
        <f t="shared" si="2"/>
        <v>-4.8000000000000001E-2</v>
      </c>
    </row>
    <row r="8" spans="1:8">
      <c r="A8" s="9">
        <v>46023</v>
      </c>
      <c r="B8" t="s">
        <v>51</v>
      </c>
      <c r="C8" t="s">
        <v>108</v>
      </c>
      <c r="D8" s="26">
        <v>14500</v>
      </c>
      <c r="E8" s="18">
        <f>SUMIFS(Base_Lancamentos!$F$4:$F$59,Base_Lancamentos!$B$4:$B$59,$A8,Base_Lancamentos!$D$4:$D$59,$B8)</f>
        <v>13600</v>
      </c>
      <c r="F8" s="18">
        <f t="shared" si="0"/>
        <v>13600</v>
      </c>
      <c r="G8" s="18">
        <f t="shared" si="1"/>
        <v>-900</v>
      </c>
      <c r="H8" s="27">
        <f t="shared" si="2"/>
        <v>-6.2068965517241378E-2</v>
      </c>
    </row>
    <row r="9" spans="1:8">
      <c r="A9" s="9">
        <v>46023</v>
      </c>
      <c r="B9" t="s">
        <v>53</v>
      </c>
      <c r="C9" t="s">
        <v>108</v>
      </c>
      <c r="D9" s="26">
        <v>11000</v>
      </c>
      <c r="E9" s="18">
        <f>SUMIFS(Base_Lancamentos!$F$4:$F$59,Base_Lancamentos!$B$4:$B$59,$A9,Base_Lancamentos!$D$4:$D$59,$B9)</f>
        <v>10200</v>
      </c>
      <c r="F9" s="18">
        <f t="shared" si="0"/>
        <v>10200</v>
      </c>
      <c r="G9" s="18">
        <f t="shared" si="1"/>
        <v>-800</v>
      </c>
      <c r="H9" s="27">
        <f t="shared" si="2"/>
        <v>-7.2727272727272724E-2</v>
      </c>
    </row>
    <row r="10" spans="1:8">
      <c r="A10" s="9">
        <v>46054</v>
      </c>
      <c r="B10" t="s">
        <v>40</v>
      </c>
      <c r="C10" t="s">
        <v>107</v>
      </c>
      <c r="D10" s="26">
        <v>71260</v>
      </c>
      <c r="E10" s="18">
        <f>SUMIFS(Base_Lancamentos!$F$4:$F$59,Base_Lancamentos!$B$4:$B$59,$A10,Base_Lancamentos!$D$4:$D$59,$B10)</f>
        <v>67150</v>
      </c>
      <c r="F10" s="18">
        <f t="shared" si="0"/>
        <v>67150</v>
      </c>
      <c r="G10" s="18">
        <f t="shared" si="1"/>
        <v>-4110</v>
      </c>
      <c r="H10" s="27">
        <f t="shared" si="2"/>
        <v>-5.7676115632893626E-2</v>
      </c>
    </row>
    <row r="11" spans="1:8">
      <c r="A11" s="9">
        <v>46054</v>
      </c>
      <c r="B11" t="s">
        <v>44</v>
      </c>
      <c r="C11" t="s">
        <v>107</v>
      </c>
      <c r="D11" s="26">
        <v>12562.5</v>
      </c>
      <c r="E11" s="18">
        <f>SUMIFS(Base_Lancamentos!$F$4:$F$59,Base_Lancamentos!$B$4:$B$59,$A11,Base_Lancamentos!$D$4:$D$59,$B11)</f>
        <v>11850</v>
      </c>
      <c r="F11" s="18">
        <f t="shared" si="0"/>
        <v>11850</v>
      </c>
      <c r="G11" s="18">
        <f t="shared" si="1"/>
        <v>-712.5</v>
      </c>
      <c r="H11" s="27">
        <f t="shared" si="2"/>
        <v>-5.6716417910447764E-2</v>
      </c>
    </row>
    <row r="12" spans="1:8">
      <c r="A12" s="9">
        <v>46054</v>
      </c>
      <c r="B12" t="s">
        <v>49</v>
      </c>
      <c r="C12" t="s">
        <v>108</v>
      </c>
      <c r="D12" s="26">
        <v>16665</v>
      </c>
      <c r="E12" s="18">
        <f>SUMIFS(Base_Lancamentos!$F$4:$F$59,Base_Lancamentos!$B$4:$B$59,$A12,Base_Lancamentos!$D$4:$D$59,$B12)</f>
        <v>16560</v>
      </c>
      <c r="F12" s="18">
        <f t="shared" si="0"/>
        <v>16560</v>
      </c>
      <c r="G12" s="18">
        <f t="shared" si="1"/>
        <v>-105</v>
      </c>
      <c r="H12" s="27">
        <f t="shared" si="2"/>
        <v>-6.3006300630063005E-3</v>
      </c>
    </row>
    <row r="13" spans="1:8">
      <c r="A13" s="9">
        <v>46054</v>
      </c>
      <c r="B13" t="s">
        <v>47</v>
      </c>
      <c r="C13" t="s">
        <v>108</v>
      </c>
      <c r="D13" s="26">
        <v>30240</v>
      </c>
      <c r="E13" s="18">
        <f>SUMIFS(Base_Lancamentos!$F$4:$F$59,Base_Lancamentos!$B$4:$B$59,$A13,Base_Lancamentos!$D$4:$D$59,$B13)</f>
        <v>30240</v>
      </c>
      <c r="F13" s="18">
        <f t="shared" si="0"/>
        <v>30240</v>
      </c>
      <c r="G13" s="18">
        <f t="shared" si="1"/>
        <v>0</v>
      </c>
      <c r="H13" s="27">
        <f t="shared" si="2"/>
        <v>0</v>
      </c>
    </row>
    <row r="14" spans="1:8">
      <c r="A14" s="9">
        <v>46054</v>
      </c>
      <c r="B14" t="s">
        <v>51</v>
      </c>
      <c r="C14" t="s">
        <v>108</v>
      </c>
      <c r="D14" s="26">
        <v>14645</v>
      </c>
      <c r="E14" s="18">
        <f>SUMIFS(Base_Lancamentos!$F$4:$F$59,Base_Lancamentos!$B$4:$B$59,$A14,Base_Lancamentos!$D$4:$D$59,$B14)</f>
        <v>14400</v>
      </c>
      <c r="F14" s="18">
        <f t="shared" si="0"/>
        <v>14400</v>
      </c>
      <c r="G14" s="18">
        <f t="shared" si="1"/>
        <v>-245</v>
      </c>
      <c r="H14" s="27">
        <f t="shared" si="2"/>
        <v>-1.6729259132809832E-2</v>
      </c>
    </row>
    <row r="15" spans="1:8">
      <c r="A15" s="9">
        <v>46054</v>
      </c>
      <c r="B15" t="s">
        <v>53</v>
      </c>
      <c r="C15" t="s">
        <v>108</v>
      </c>
      <c r="D15" s="26">
        <v>11066</v>
      </c>
      <c r="E15" s="18">
        <f>SUMIFS(Base_Lancamentos!$F$4:$F$59,Base_Lancamentos!$B$4:$B$59,$A15,Base_Lancamentos!$D$4:$D$59,$B15)</f>
        <v>10800</v>
      </c>
      <c r="F15" s="18">
        <f t="shared" si="0"/>
        <v>10800</v>
      </c>
      <c r="G15" s="18">
        <f t="shared" si="1"/>
        <v>-266</v>
      </c>
      <c r="H15" s="27">
        <f t="shared" si="2"/>
        <v>-2.403759262606181E-2</v>
      </c>
    </row>
    <row r="16" spans="1:8">
      <c r="A16" s="9">
        <v>46082</v>
      </c>
      <c r="B16" t="s">
        <v>40</v>
      </c>
      <c r="C16" t="s">
        <v>107</v>
      </c>
      <c r="D16" s="26">
        <v>72542.679999999993</v>
      </c>
      <c r="E16" s="18">
        <f>SUMIFS(Base_Lancamentos!$F$4:$F$59,Base_Lancamentos!$B$4:$B$59,$A16,Base_Lancamentos!$D$4:$D$59,$B16)</f>
        <v>77350</v>
      </c>
      <c r="F16" s="18">
        <f t="shared" si="0"/>
        <v>77350</v>
      </c>
      <c r="G16" s="18">
        <f t="shared" si="1"/>
        <v>4807.320000000007</v>
      </c>
      <c r="H16" s="27">
        <f t="shared" si="2"/>
        <v>6.6268850282344235E-2</v>
      </c>
    </row>
    <row r="17" spans="1:8">
      <c r="A17" s="9">
        <v>46082</v>
      </c>
      <c r="B17" t="s">
        <v>44</v>
      </c>
      <c r="C17" t="s">
        <v>107</v>
      </c>
      <c r="D17" s="26">
        <v>12625.31</v>
      </c>
      <c r="E17" s="18">
        <f>SUMIFS(Base_Lancamentos!$F$4:$F$59,Base_Lancamentos!$B$4:$B$59,$A17,Base_Lancamentos!$D$4:$D$59,$B17)</f>
        <v>13650</v>
      </c>
      <c r="F17" s="18">
        <f t="shared" si="0"/>
        <v>13650</v>
      </c>
      <c r="G17" s="18">
        <f t="shared" si="1"/>
        <v>1024.6900000000005</v>
      </c>
      <c r="H17" s="27">
        <f t="shared" si="2"/>
        <v>8.1161571478244932E-2</v>
      </c>
    </row>
    <row r="18" spans="1:8">
      <c r="A18" s="9">
        <v>46082</v>
      </c>
      <c r="B18" t="s">
        <v>49</v>
      </c>
      <c r="C18" t="s">
        <v>108</v>
      </c>
      <c r="D18" s="26">
        <v>16831.650000000001</v>
      </c>
      <c r="E18" s="18">
        <f>SUMIFS(Base_Lancamentos!$F$4:$F$59,Base_Lancamentos!$B$4:$B$59,$A18,Base_Lancamentos!$D$4:$D$59,$B18)</f>
        <v>17135</v>
      </c>
      <c r="F18" s="18">
        <f t="shared" si="0"/>
        <v>17135</v>
      </c>
      <c r="G18" s="18">
        <f t="shared" si="1"/>
        <v>303.34999999999854</v>
      </c>
      <c r="H18" s="27">
        <f t="shared" si="2"/>
        <v>1.8022594338641697E-2</v>
      </c>
    </row>
    <row r="19" spans="1:8">
      <c r="A19" s="9">
        <v>46082</v>
      </c>
      <c r="B19" t="s">
        <v>47</v>
      </c>
      <c r="C19" t="s">
        <v>108</v>
      </c>
      <c r="D19" s="26">
        <v>30481.919999999998</v>
      </c>
      <c r="E19" s="18">
        <f>SUMIFS(Base_Lancamentos!$F$4:$F$59,Base_Lancamentos!$B$4:$B$59,$A19,Base_Lancamentos!$D$4:$D$59,$B19)</f>
        <v>31290</v>
      </c>
      <c r="F19" s="18">
        <f t="shared" si="0"/>
        <v>31290</v>
      </c>
      <c r="G19" s="18">
        <f t="shared" si="1"/>
        <v>808.08000000000175</v>
      </c>
      <c r="H19" s="27">
        <f t="shared" si="2"/>
        <v>2.6510141093474486E-2</v>
      </c>
    </row>
    <row r="20" spans="1:8">
      <c r="A20" s="9">
        <v>46082</v>
      </c>
      <c r="B20" t="s">
        <v>51</v>
      </c>
      <c r="C20" t="s">
        <v>108</v>
      </c>
      <c r="D20" s="26">
        <v>14791.45</v>
      </c>
      <c r="E20" s="18">
        <f>SUMIFS(Base_Lancamentos!$F$4:$F$59,Base_Lancamentos!$B$4:$B$59,$A20,Base_Lancamentos!$D$4:$D$59,$B20)</f>
        <v>14900</v>
      </c>
      <c r="F20" s="18">
        <f t="shared" si="0"/>
        <v>14900</v>
      </c>
      <c r="G20" s="18">
        <f t="shared" si="1"/>
        <v>108.54999999999927</v>
      </c>
      <c r="H20" s="27">
        <f t="shared" si="2"/>
        <v>7.3386990457324514E-3</v>
      </c>
    </row>
    <row r="21" spans="1:8">
      <c r="A21" s="9">
        <v>46082</v>
      </c>
      <c r="B21" t="s">
        <v>53</v>
      </c>
      <c r="C21" t="s">
        <v>108</v>
      </c>
      <c r="D21" s="26">
        <v>11132.4</v>
      </c>
      <c r="E21" s="18">
        <f>SUMIFS(Base_Lancamentos!$F$4:$F$59,Base_Lancamentos!$B$4:$B$59,$A21,Base_Lancamentos!$D$4:$D$59,$B21)</f>
        <v>11175</v>
      </c>
      <c r="F21" s="18">
        <f t="shared" si="0"/>
        <v>11175</v>
      </c>
      <c r="G21" s="18">
        <f t="shared" si="1"/>
        <v>42.600000000000364</v>
      </c>
      <c r="H21" s="27">
        <f t="shared" si="2"/>
        <v>3.8266681039129356E-3</v>
      </c>
    </row>
    <row r="22" spans="1:8">
      <c r="A22" s="9">
        <v>46113</v>
      </c>
      <c r="B22" t="s">
        <v>40</v>
      </c>
      <c r="C22" t="s">
        <v>107</v>
      </c>
      <c r="D22" s="26">
        <v>73848.45</v>
      </c>
      <c r="E22" s="18">
        <f>SUMIFS(Base_Lancamentos!$F$4:$F$59,Base_Lancamentos!$B$4:$B$59,$A22,Base_Lancamentos!$D$4:$D$59,$B22)</f>
        <v>73950</v>
      </c>
      <c r="F22" s="18">
        <f t="shared" si="0"/>
        <v>73950</v>
      </c>
      <c r="G22" s="18">
        <f t="shared" si="1"/>
        <v>101.55000000000291</v>
      </c>
      <c r="H22" s="27">
        <f t="shared" si="2"/>
        <v>1.37511349256488E-3</v>
      </c>
    </row>
    <row r="23" spans="1:8">
      <c r="A23" s="9">
        <v>46113</v>
      </c>
      <c r="B23" t="s">
        <v>44</v>
      </c>
      <c r="C23" t="s">
        <v>107</v>
      </c>
      <c r="D23" s="26">
        <v>12688.44</v>
      </c>
      <c r="E23" s="18">
        <f>SUMIFS(Base_Lancamentos!$F$4:$F$59,Base_Lancamentos!$B$4:$B$59,$A23,Base_Lancamentos!$D$4:$D$59,$B23)</f>
        <v>13050</v>
      </c>
      <c r="F23" s="18">
        <f t="shared" si="0"/>
        <v>13050</v>
      </c>
      <c r="G23" s="18">
        <f t="shared" si="1"/>
        <v>361.55999999999949</v>
      </c>
      <c r="H23" s="27">
        <f t="shared" si="2"/>
        <v>2.8495228727881402E-2</v>
      </c>
    </row>
    <row r="24" spans="1:8">
      <c r="A24" s="9">
        <v>46113</v>
      </c>
      <c r="B24" t="s">
        <v>49</v>
      </c>
      <c r="C24" t="s">
        <v>108</v>
      </c>
      <c r="D24" s="26">
        <v>16999.97</v>
      </c>
      <c r="E24" s="18">
        <f>SUMIFS(Base_Lancamentos!$F$4:$F$59,Base_Lancamentos!$B$4:$B$59,$A24,Base_Lancamentos!$D$4:$D$59,$B24)</f>
        <v>17480</v>
      </c>
      <c r="F24" s="18">
        <f t="shared" si="0"/>
        <v>17480</v>
      </c>
      <c r="G24" s="18">
        <f t="shared" si="1"/>
        <v>480.02999999999884</v>
      </c>
      <c r="H24" s="27">
        <f t="shared" si="2"/>
        <v>2.8237108653721085E-2</v>
      </c>
    </row>
    <row r="25" spans="1:8">
      <c r="A25" s="9">
        <v>46113</v>
      </c>
      <c r="B25" t="s">
        <v>47</v>
      </c>
      <c r="C25" t="s">
        <v>108</v>
      </c>
      <c r="D25" s="26">
        <v>30725.78</v>
      </c>
      <c r="E25" s="18">
        <f>SUMIFS(Base_Lancamentos!$F$4:$F$59,Base_Lancamentos!$B$4:$B$59,$A25,Base_Lancamentos!$D$4:$D$59,$B25)</f>
        <v>31920</v>
      </c>
      <c r="F25" s="18">
        <f t="shared" si="0"/>
        <v>31920</v>
      </c>
      <c r="G25" s="18">
        <f t="shared" si="1"/>
        <v>1194.2200000000012</v>
      </c>
      <c r="H25" s="27">
        <f t="shared" si="2"/>
        <v>3.8867036085007481E-2</v>
      </c>
    </row>
    <row r="26" spans="1:8">
      <c r="A26" s="9">
        <v>46113</v>
      </c>
      <c r="B26" t="s">
        <v>51</v>
      </c>
      <c r="C26" t="s">
        <v>108</v>
      </c>
      <c r="D26" s="26">
        <v>14939.36</v>
      </c>
      <c r="E26" s="18">
        <f>SUMIFS(Base_Lancamentos!$F$4:$F$59,Base_Lancamentos!$B$4:$B$59,$A26,Base_Lancamentos!$D$4:$D$59,$B26)</f>
        <v>15200</v>
      </c>
      <c r="F26" s="18">
        <f t="shared" si="0"/>
        <v>15200</v>
      </c>
      <c r="G26" s="18">
        <f t="shared" si="1"/>
        <v>260.63999999999942</v>
      </c>
      <c r="H26" s="27">
        <f t="shared" si="2"/>
        <v>1.7446530507330929E-2</v>
      </c>
    </row>
    <row r="27" spans="1:8">
      <c r="A27" s="9">
        <v>46113</v>
      </c>
      <c r="B27" t="s">
        <v>53</v>
      </c>
      <c r="C27" t="s">
        <v>108</v>
      </c>
      <c r="D27" s="26">
        <v>11199.19</v>
      </c>
      <c r="E27" s="18">
        <f>SUMIFS(Base_Lancamentos!$F$4:$F$59,Base_Lancamentos!$B$4:$B$59,$A27,Base_Lancamentos!$D$4:$D$59,$B27)</f>
        <v>11400</v>
      </c>
      <c r="F27" s="18">
        <f t="shared" si="0"/>
        <v>11400</v>
      </c>
      <c r="G27" s="18">
        <f t="shared" si="1"/>
        <v>200.80999999999949</v>
      </c>
      <c r="H27" s="27">
        <f t="shared" si="2"/>
        <v>1.793076106396976E-2</v>
      </c>
    </row>
    <row r="28" spans="1:8">
      <c r="A28" s="9">
        <v>46143</v>
      </c>
      <c r="B28" t="s">
        <v>40</v>
      </c>
      <c r="C28" t="s">
        <v>107</v>
      </c>
      <c r="D28" s="26">
        <v>75177.72</v>
      </c>
      <c r="E28" s="18">
        <f>SUMIFS(Base_Lancamentos!$F$4:$F$59,Base_Lancamentos!$B$4:$B$59,$A28,Base_Lancamentos!$D$4:$D$59,$B28)</f>
        <v>79900</v>
      </c>
      <c r="F28" s="18">
        <f t="shared" si="0"/>
        <v>79900</v>
      </c>
      <c r="G28" s="18">
        <f t="shared" si="1"/>
        <v>4722.2799999999988</v>
      </c>
      <c r="H28" s="27">
        <f t="shared" si="2"/>
        <v>6.2814887176679463E-2</v>
      </c>
    </row>
    <row r="29" spans="1:8">
      <c r="A29" s="9">
        <v>46143</v>
      </c>
      <c r="B29" t="s">
        <v>44</v>
      </c>
      <c r="C29" t="s">
        <v>107</v>
      </c>
      <c r="D29" s="26">
        <v>12751.88</v>
      </c>
      <c r="E29" s="18">
        <f>SUMIFS(Base_Lancamentos!$F$4:$F$59,Base_Lancamentos!$B$4:$B$59,$A29,Base_Lancamentos!$D$4:$D$59,$B29)</f>
        <v>14100</v>
      </c>
      <c r="F29" s="18">
        <f t="shared" si="0"/>
        <v>14100</v>
      </c>
      <c r="G29" s="18">
        <f t="shared" si="1"/>
        <v>1348.1200000000008</v>
      </c>
      <c r="H29" s="27">
        <f t="shared" si="2"/>
        <v>0.10571931354435588</v>
      </c>
    </row>
    <row r="30" spans="1:8">
      <c r="A30" s="9">
        <v>46143</v>
      </c>
      <c r="B30" t="s">
        <v>49</v>
      </c>
      <c r="C30" t="s">
        <v>108</v>
      </c>
      <c r="D30" s="26">
        <v>17169.97</v>
      </c>
      <c r="E30" s="18">
        <f>SUMIFS(Base_Lancamentos!$F$4:$F$59,Base_Lancamentos!$B$4:$B$59,$A30,Base_Lancamentos!$D$4:$D$59,$B30)</f>
        <v>18055</v>
      </c>
      <c r="F30" s="18">
        <f t="shared" si="0"/>
        <v>18055</v>
      </c>
      <c r="G30" s="18">
        <f t="shared" si="1"/>
        <v>885.02999999999884</v>
      </c>
      <c r="H30" s="27">
        <f t="shared" si="2"/>
        <v>5.1545226928177437E-2</v>
      </c>
    </row>
    <row r="31" spans="1:8">
      <c r="A31" s="9">
        <v>46143</v>
      </c>
      <c r="B31" t="s">
        <v>47</v>
      </c>
      <c r="C31" t="s">
        <v>108</v>
      </c>
      <c r="D31" s="26">
        <v>30971.58</v>
      </c>
      <c r="E31" s="18">
        <f>SUMIFS(Base_Lancamentos!$F$4:$F$59,Base_Lancamentos!$B$4:$B$59,$A31,Base_Lancamentos!$D$4:$D$59,$B31)</f>
        <v>32970</v>
      </c>
      <c r="F31" s="18">
        <f t="shared" si="0"/>
        <v>32970</v>
      </c>
      <c r="G31" s="18">
        <f t="shared" si="1"/>
        <v>1998.4199999999983</v>
      </c>
      <c r="H31" s="27">
        <f t="shared" si="2"/>
        <v>6.4524315517645467E-2</v>
      </c>
    </row>
    <row r="32" spans="1:8">
      <c r="A32" s="9">
        <v>46143</v>
      </c>
      <c r="B32" t="s">
        <v>51</v>
      </c>
      <c r="C32" t="s">
        <v>108</v>
      </c>
      <c r="D32" s="26">
        <v>15088.76</v>
      </c>
      <c r="E32" s="18">
        <f>SUMIFS(Base_Lancamentos!$F$4:$F$59,Base_Lancamentos!$B$4:$B$59,$A32,Base_Lancamentos!$D$4:$D$59,$B32)</f>
        <v>15700</v>
      </c>
      <c r="F32" s="18">
        <f t="shared" si="0"/>
        <v>15700</v>
      </c>
      <c r="G32" s="18">
        <f t="shared" si="1"/>
        <v>611.23999999999978</v>
      </c>
      <c r="H32" s="27">
        <f t="shared" si="2"/>
        <v>4.0509624382653035E-2</v>
      </c>
    </row>
    <row r="33" spans="1:8">
      <c r="A33" s="9">
        <v>46143</v>
      </c>
      <c r="B33" t="s">
        <v>53</v>
      </c>
      <c r="C33" t="s">
        <v>108</v>
      </c>
      <c r="D33" s="26">
        <v>11266.39</v>
      </c>
      <c r="E33" s="18">
        <f>SUMIFS(Base_Lancamentos!$F$4:$F$59,Base_Lancamentos!$B$4:$B$59,$A33,Base_Lancamentos!$D$4:$D$59,$B33)</f>
        <v>11775</v>
      </c>
      <c r="F33" s="18">
        <f t="shared" si="0"/>
        <v>11775</v>
      </c>
      <c r="G33" s="18">
        <f t="shared" si="1"/>
        <v>508.61000000000058</v>
      </c>
      <c r="H33" s="27">
        <f t="shared" si="2"/>
        <v>4.5144007974160363E-2</v>
      </c>
    </row>
    <row r="34" spans="1:8">
      <c r="A34" s="9">
        <v>46174</v>
      </c>
      <c r="B34" t="s">
        <v>40</v>
      </c>
      <c r="C34" t="s">
        <v>107</v>
      </c>
      <c r="D34" s="26">
        <v>76530.92</v>
      </c>
      <c r="E34" s="18">
        <f>SUMIFS(Base_Lancamentos!$F$4:$F$59,Base_Lancamentos!$B$4:$B$59,$A34,Base_Lancamentos!$D$4:$D$59,$B34)</f>
        <v>82450</v>
      </c>
      <c r="F34" s="18">
        <f t="shared" si="0"/>
        <v>82450</v>
      </c>
      <c r="G34" s="18">
        <f t="shared" si="1"/>
        <v>5919.0800000000017</v>
      </c>
      <c r="H34" s="27">
        <f t="shared" si="2"/>
        <v>7.7342334314026304E-2</v>
      </c>
    </row>
    <row r="35" spans="1:8">
      <c r="A35" s="9">
        <v>46174</v>
      </c>
      <c r="B35" t="s">
        <v>44</v>
      </c>
      <c r="C35" t="s">
        <v>107</v>
      </c>
      <c r="D35" s="26">
        <v>12815.64</v>
      </c>
      <c r="E35" s="18">
        <f>SUMIFS(Base_Lancamentos!$F$4:$F$59,Base_Lancamentos!$B$4:$B$59,$A35,Base_Lancamentos!$D$4:$D$59,$B35)</f>
        <v>14550</v>
      </c>
      <c r="F35" s="18">
        <f t="shared" si="0"/>
        <v>14550</v>
      </c>
      <c r="G35" s="18">
        <f t="shared" si="1"/>
        <v>1734.3600000000006</v>
      </c>
      <c r="H35" s="27">
        <f t="shared" si="2"/>
        <v>0.1353315168029065</v>
      </c>
    </row>
    <row r="36" spans="1:8">
      <c r="A36" s="9">
        <v>46174</v>
      </c>
      <c r="B36" t="s">
        <v>49</v>
      </c>
      <c r="C36" t="s">
        <v>108</v>
      </c>
      <c r="D36" s="26">
        <v>17341.669999999998</v>
      </c>
      <c r="E36" s="18">
        <f>SUMIFS(Base_Lancamentos!$F$4:$F$59,Base_Lancamentos!$B$4:$B$59,$A36,Base_Lancamentos!$D$4:$D$59,$B36)</f>
        <v>18860</v>
      </c>
      <c r="F36" s="18">
        <f t="shared" si="0"/>
        <v>18860</v>
      </c>
      <c r="G36" s="18">
        <f t="shared" ref="G36:G67" si="3">F36-D36</f>
        <v>1518.3300000000017</v>
      </c>
      <c r="H36" s="27">
        <f t="shared" ref="H36:H67" si="4">IF(D36=0,0,G36/D36)</f>
        <v>8.7553851503344368E-2</v>
      </c>
    </row>
    <row r="37" spans="1:8">
      <c r="A37" s="9">
        <v>46174</v>
      </c>
      <c r="B37" t="s">
        <v>47</v>
      </c>
      <c r="C37" t="s">
        <v>108</v>
      </c>
      <c r="D37" s="26">
        <v>31219.35</v>
      </c>
      <c r="E37" s="18">
        <f>SUMIFS(Base_Lancamentos!$F$4:$F$59,Base_Lancamentos!$B$4:$B$59,$A37,Base_Lancamentos!$D$4:$D$59,$B37)</f>
        <v>34440</v>
      </c>
      <c r="F37" s="18">
        <f t="shared" si="0"/>
        <v>34440</v>
      </c>
      <c r="G37" s="18">
        <f t="shared" si="3"/>
        <v>3220.6500000000015</v>
      </c>
      <c r="H37" s="27">
        <f t="shared" si="4"/>
        <v>0.10316198127123087</v>
      </c>
    </row>
    <row r="38" spans="1:8">
      <c r="A38" s="9">
        <v>46174</v>
      </c>
      <c r="B38" t="s">
        <v>51</v>
      </c>
      <c r="C38" t="s">
        <v>108</v>
      </c>
      <c r="D38" s="26">
        <v>15239.65</v>
      </c>
      <c r="E38" s="18">
        <f>SUMIFS(Base_Lancamentos!$F$4:$F$59,Base_Lancamentos!$B$4:$B$59,$A38,Base_Lancamentos!$D$4:$D$59,$B38)</f>
        <v>16400</v>
      </c>
      <c r="F38" s="18">
        <f t="shared" si="0"/>
        <v>16400</v>
      </c>
      <c r="G38" s="18">
        <f t="shared" si="3"/>
        <v>1160.3500000000004</v>
      </c>
      <c r="H38" s="27">
        <f t="shared" si="4"/>
        <v>7.6140200070211606E-2</v>
      </c>
    </row>
    <row r="39" spans="1:8">
      <c r="A39" s="9">
        <v>46174</v>
      </c>
      <c r="B39" t="s">
        <v>53</v>
      </c>
      <c r="C39" t="s">
        <v>108</v>
      </c>
      <c r="D39" s="26">
        <v>11333.98</v>
      </c>
      <c r="E39" s="18">
        <f>SUMIFS(Base_Lancamentos!$F$4:$F$59,Base_Lancamentos!$B$4:$B$59,$A39,Base_Lancamentos!$D$4:$D$59,$B39)</f>
        <v>12300</v>
      </c>
      <c r="F39" s="18">
        <f t="shared" si="0"/>
        <v>12300</v>
      </c>
      <c r="G39" s="18">
        <f t="shared" si="3"/>
        <v>966.02000000000044</v>
      </c>
      <c r="H39" s="27">
        <f t="shared" si="4"/>
        <v>8.5232195574723127E-2</v>
      </c>
    </row>
    <row r="40" spans="1:8">
      <c r="A40" s="9">
        <v>46204</v>
      </c>
      <c r="B40" t="s">
        <v>40</v>
      </c>
      <c r="C40" t="s">
        <v>107</v>
      </c>
      <c r="D40" s="26">
        <v>77908.479999999996</v>
      </c>
      <c r="E40" s="18">
        <f>SUMIFS(Base_Lancamentos!$F$4:$F$59,Base_Lancamentos!$B$4:$B$59,$A40,Base_Lancamentos!$D$4:$D$59,$B40)</f>
        <v>85850</v>
      </c>
      <c r="F40" s="18">
        <f t="shared" si="0"/>
        <v>85850</v>
      </c>
      <c r="G40" s="18">
        <f t="shared" si="3"/>
        <v>7941.5200000000041</v>
      </c>
      <c r="H40" s="27">
        <f t="shared" si="4"/>
        <v>0.101933961489173</v>
      </c>
    </row>
    <row r="41" spans="1:8">
      <c r="A41" s="9">
        <v>46204</v>
      </c>
      <c r="B41" t="s">
        <v>44</v>
      </c>
      <c r="C41" t="s">
        <v>107</v>
      </c>
      <c r="D41" s="26">
        <v>12879.72</v>
      </c>
      <c r="E41" s="18">
        <f>SUMIFS(Base_Lancamentos!$F$4:$F$59,Base_Lancamentos!$B$4:$B$59,$A41,Base_Lancamentos!$D$4:$D$59,$B41)</f>
        <v>15150</v>
      </c>
      <c r="F41" s="18">
        <f t="shared" si="0"/>
        <v>15150</v>
      </c>
      <c r="G41" s="18">
        <f t="shared" si="3"/>
        <v>2270.2800000000007</v>
      </c>
      <c r="H41" s="27">
        <f t="shared" si="4"/>
        <v>0.17626780706412878</v>
      </c>
    </row>
    <row r="42" spans="1:8">
      <c r="A42" s="9">
        <v>46204</v>
      </c>
      <c r="B42" t="s">
        <v>49</v>
      </c>
      <c r="C42" t="s">
        <v>108</v>
      </c>
      <c r="D42" s="26">
        <v>17515.080000000002</v>
      </c>
      <c r="E42" s="18">
        <f>SUMIFS(Base_Lancamentos!$F$4:$F$59,Base_Lancamentos!$B$4:$B$59,$A42,Base_Lancamentos!$D$4:$D$59,$B42)</f>
        <v>19435</v>
      </c>
      <c r="F42" s="18">
        <f t="shared" si="0"/>
        <v>19435</v>
      </c>
      <c r="G42" s="18">
        <f t="shared" si="3"/>
        <v>1919.9199999999983</v>
      </c>
      <c r="H42" s="27">
        <f t="shared" si="4"/>
        <v>0.10961525725260736</v>
      </c>
    </row>
    <row r="43" spans="1:8">
      <c r="A43" s="9">
        <v>46204</v>
      </c>
      <c r="B43" t="s">
        <v>47</v>
      </c>
      <c r="C43" t="s">
        <v>108</v>
      </c>
      <c r="D43" s="26">
        <v>31469.11</v>
      </c>
      <c r="E43" s="18">
        <f>SUMIFS(Base_Lancamentos!$F$4:$F$59,Base_Lancamentos!$B$4:$B$59,$A43,Base_Lancamentos!$D$4:$D$59,$B43)</f>
        <v>35490</v>
      </c>
      <c r="F43" s="18">
        <f t="shared" si="0"/>
        <v>35490</v>
      </c>
      <c r="G43" s="18">
        <f t="shared" si="3"/>
        <v>4020.8899999999994</v>
      </c>
      <c r="H43" s="27">
        <f t="shared" si="4"/>
        <v>0.1277725998606252</v>
      </c>
    </row>
    <row r="44" spans="1:8">
      <c r="A44" s="9">
        <v>46204</v>
      </c>
      <c r="B44" t="s">
        <v>51</v>
      </c>
      <c r="C44" t="s">
        <v>108</v>
      </c>
      <c r="D44" s="26">
        <v>15392.04</v>
      </c>
      <c r="E44" s="18">
        <f>SUMIFS(Base_Lancamentos!$F$4:$F$59,Base_Lancamentos!$B$4:$B$59,$A44,Base_Lancamentos!$D$4:$D$59,$B44)</f>
        <v>16900</v>
      </c>
      <c r="F44" s="18">
        <f t="shared" si="0"/>
        <v>16900</v>
      </c>
      <c r="G44" s="18">
        <f t="shared" si="3"/>
        <v>1507.9599999999991</v>
      </c>
      <c r="H44" s="27">
        <f t="shared" si="4"/>
        <v>9.797011962027119E-2</v>
      </c>
    </row>
    <row r="45" spans="1:8">
      <c r="A45" s="9">
        <v>46204</v>
      </c>
      <c r="B45" t="s">
        <v>53</v>
      </c>
      <c r="C45" t="s">
        <v>108</v>
      </c>
      <c r="D45" s="26">
        <v>11401.99</v>
      </c>
      <c r="E45" s="18">
        <f>SUMIFS(Base_Lancamentos!$F$4:$F$59,Base_Lancamentos!$B$4:$B$59,$A45,Base_Lancamentos!$D$4:$D$59,$B45)</f>
        <v>12675</v>
      </c>
      <c r="F45" s="18">
        <f t="shared" si="0"/>
        <v>12675</v>
      </c>
      <c r="G45" s="18">
        <f t="shared" si="3"/>
        <v>1273.0100000000002</v>
      </c>
      <c r="H45" s="27">
        <f t="shared" si="4"/>
        <v>0.11164805441857081</v>
      </c>
    </row>
    <row r="46" spans="1:8">
      <c r="A46" s="9">
        <v>46235</v>
      </c>
      <c r="B46" t="s">
        <v>40</v>
      </c>
      <c r="C46" t="s">
        <v>107</v>
      </c>
      <c r="D46" s="26">
        <v>79310.83</v>
      </c>
      <c r="E46" s="18">
        <f>SUMIFS(Base_Lancamentos!$F$4:$F$59,Base_Lancamentos!$B$4:$B$59,$A46,Base_Lancamentos!$D$4:$D$59,$B46)</f>
        <v>84150</v>
      </c>
      <c r="F46" s="18">
        <f t="shared" si="0"/>
        <v>84150</v>
      </c>
      <c r="G46" s="18">
        <f t="shared" si="3"/>
        <v>4839.1699999999983</v>
      </c>
      <c r="H46" s="27">
        <f t="shared" si="4"/>
        <v>6.1015248484979898E-2</v>
      </c>
    </row>
    <row r="47" spans="1:8">
      <c r="A47" s="9">
        <v>46235</v>
      </c>
      <c r="B47" t="s">
        <v>44</v>
      </c>
      <c r="C47" t="s">
        <v>107</v>
      </c>
      <c r="D47" s="26">
        <v>12944.12</v>
      </c>
      <c r="E47" s="18">
        <f>SUMIFS(Base_Lancamentos!$F$4:$F$59,Base_Lancamentos!$B$4:$B$59,$A47,Base_Lancamentos!$D$4:$D$59,$B47)</f>
        <v>14850</v>
      </c>
      <c r="F47" s="18">
        <f t="shared" si="0"/>
        <v>14850</v>
      </c>
      <c r="G47" s="18">
        <f t="shared" si="3"/>
        <v>1905.8799999999992</v>
      </c>
      <c r="H47" s="27">
        <f t="shared" si="4"/>
        <v>0.14723905526215758</v>
      </c>
    </row>
    <row r="48" spans="1:8">
      <c r="A48" s="9">
        <v>46235</v>
      </c>
      <c r="B48" t="s">
        <v>49</v>
      </c>
      <c r="C48" t="s">
        <v>108</v>
      </c>
      <c r="D48" s="26">
        <v>17690.23</v>
      </c>
      <c r="E48" s="18">
        <f>SUMIFS(Base_Lancamentos!$F$4:$F$59,Base_Lancamentos!$B$4:$B$59,$A48,Base_Lancamentos!$D$4:$D$59,$B48)</f>
        <v>19780</v>
      </c>
      <c r="F48" s="18">
        <f t="shared" si="0"/>
        <v>19780</v>
      </c>
      <c r="G48" s="18">
        <f t="shared" si="3"/>
        <v>2089.7700000000004</v>
      </c>
      <c r="H48" s="27">
        <f t="shared" si="4"/>
        <v>0.11813130750702509</v>
      </c>
    </row>
    <row r="49" spans="1:8">
      <c r="A49" s="9">
        <v>46235</v>
      </c>
      <c r="B49" t="s">
        <v>47</v>
      </c>
      <c r="C49" t="s">
        <v>108</v>
      </c>
      <c r="D49" s="26">
        <v>31720.86</v>
      </c>
      <c r="E49" s="18">
        <f>SUMIFS(Base_Lancamentos!$F$4:$F$59,Base_Lancamentos!$B$4:$B$59,$A49,Base_Lancamentos!$D$4:$D$59,$B49)</f>
        <v>36120</v>
      </c>
      <c r="F49" s="18">
        <f t="shared" si="0"/>
        <v>36120</v>
      </c>
      <c r="G49" s="18">
        <f t="shared" si="3"/>
        <v>4399.1399999999994</v>
      </c>
      <c r="H49" s="27">
        <f t="shared" si="4"/>
        <v>0.13868287303685964</v>
      </c>
    </row>
    <row r="50" spans="1:8">
      <c r="A50" s="9">
        <v>46235</v>
      </c>
      <c r="B50" t="s">
        <v>51</v>
      </c>
      <c r="C50" t="s">
        <v>108</v>
      </c>
      <c r="D50" s="26">
        <v>15545.96</v>
      </c>
      <c r="E50" s="18">
        <f>SUMIFS(Base_Lancamentos!$F$4:$F$59,Base_Lancamentos!$B$4:$B$59,$A50,Base_Lancamentos!$D$4:$D$59,$B50)</f>
        <v>17200</v>
      </c>
      <c r="F50" s="18">
        <f t="shared" si="0"/>
        <v>17200</v>
      </c>
      <c r="G50" s="18">
        <f t="shared" si="3"/>
        <v>1654.0400000000009</v>
      </c>
      <c r="H50" s="27">
        <f t="shared" si="4"/>
        <v>0.10639677446745012</v>
      </c>
    </row>
    <row r="51" spans="1:8">
      <c r="A51" s="9">
        <v>46235</v>
      </c>
      <c r="B51" t="s">
        <v>53</v>
      </c>
      <c r="C51" t="s">
        <v>108</v>
      </c>
      <c r="D51" s="26">
        <v>11470.4</v>
      </c>
      <c r="E51" s="18">
        <f>SUMIFS(Base_Lancamentos!$F$4:$F$59,Base_Lancamentos!$B$4:$B$59,$A51,Base_Lancamentos!$D$4:$D$59,$B51)</f>
        <v>12900</v>
      </c>
      <c r="F51" s="18">
        <f t="shared" si="0"/>
        <v>12900</v>
      </c>
      <c r="G51" s="18">
        <f t="shared" si="3"/>
        <v>1429.6000000000004</v>
      </c>
      <c r="H51" s="27">
        <f t="shared" si="4"/>
        <v>0.12463384014506908</v>
      </c>
    </row>
    <row r="52" spans="1:8">
      <c r="A52" s="9">
        <v>46266</v>
      </c>
      <c r="B52" t="s">
        <v>40</v>
      </c>
      <c r="C52" t="s">
        <v>107</v>
      </c>
      <c r="D52" s="26">
        <v>80738.42</v>
      </c>
      <c r="E52" s="18">
        <f>SUMIFS(Base_Lancamentos!$F$4:$F$59,Base_Lancamentos!$B$4:$B$59,$A52,Base_Lancamentos!$D$4:$D$59,$B52)</f>
        <v>0</v>
      </c>
      <c r="F52" s="18">
        <f>F46*(1+Premissas_V2!$B$5)</f>
        <v>86674.5</v>
      </c>
      <c r="G52" s="18">
        <f t="shared" si="3"/>
        <v>5936.0800000000017</v>
      </c>
      <c r="H52" s="27">
        <f t="shared" si="4"/>
        <v>7.3522370142987709E-2</v>
      </c>
    </row>
    <row r="53" spans="1:8">
      <c r="A53" s="9">
        <v>46266</v>
      </c>
      <c r="B53" t="s">
        <v>44</v>
      </c>
      <c r="C53" t="s">
        <v>107</v>
      </c>
      <c r="D53" s="26">
        <v>13008.84</v>
      </c>
      <c r="E53" s="18">
        <f>SUMIFS(Base_Lancamentos!$F$4:$F$59,Base_Lancamentos!$B$4:$B$59,$A53,Base_Lancamentos!$D$4:$D$59,$B53)</f>
        <v>0</v>
      </c>
      <c r="F53" s="18">
        <f>F47*(1+Premissas_V2!$B$6)</f>
        <v>14998.5</v>
      </c>
      <c r="G53" s="18">
        <f t="shared" si="3"/>
        <v>1989.6599999999999</v>
      </c>
      <c r="H53" s="27">
        <f t="shared" si="4"/>
        <v>0.15294676543027663</v>
      </c>
    </row>
    <row r="54" spans="1:8">
      <c r="A54" s="9">
        <v>46266</v>
      </c>
      <c r="B54" t="s">
        <v>49</v>
      </c>
      <c r="C54" t="s">
        <v>108</v>
      </c>
      <c r="D54" s="26">
        <v>17867.14</v>
      </c>
      <c r="E54" s="18">
        <f>SUMIFS(Base_Lancamentos!$F$4:$F$59,Base_Lancamentos!$B$4:$B$59,$A54,Base_Lancamentos!$D$4:$D$59,$B54)</f>
        <v>0</v>
      </c>
      <c r="F54" s="18">
        <f>F48*(1+Premissas_V2!$B$7)</f>
        <v>20175.599999999999</v>
      </c>
      <c r="G54" s="18">
        <f t="shared" si="3"/>
        <v>2308.4599999999991</v>
      </c>
      <c r="H54" s="27">
        <f t="shared" si="4"/>
        <v>0.12920142787261973</v>
      </c>
    </row>
    <row r="55" spans="1:8">
      <c r="A55" s="9">
        <v>46266</v>
      </c>
      <c r="B55" t="s">
        <v>47</v>
      </c>
      <c r="C55" t="s">
        <v>108</v>
      </c>
      <c r="D55" s="26">
        <v>31974.63</v>
      </c>
      <c r="E55" s="18">
        <f>SUMIFS(Base_Lancamentos!$F$4:$F$59,Base_Lancamentos!$B$4:$B$59,$A55,Base_Lancamentos!$D$4:$D$59,$B55)</f>
        <v>0</v>
      </c>
      <c r="F55" s="18">
        <f>F49*(1+Premissas_V2!$B$8)</f>
        <v>36661.799999999996</v>
      </c>
      <c r="G55" s="18">
        <f t="shared" si="3"/>
        <v>4687.1699999999946</v>
      </c>
      <c r="H55" s="27">
        <f t="shared" si="4"/>
        <v>0.14659028110724015</v>
      </c>
    </row>
    <row r="56" spans="1:8">
      <c r="A56" s="9">
        <v>46266</v>
      </c>
      <c r="B56" t="s">
        <v>51</v>
      </c>
      <c r="C56" t="s">
        <v>108</v>
      </c>
      <c r="D56" s="26">
        <v>15701.42</v>
      </c>
      <c r="E56" s="18">
        <f>SUMIFS(Base_Lancamentos!$F$4:$F$59,Base_Lancamentos!$B$4:$B$59,$A56,Base_Lancamentos!$D$4:$D$59,$B56)</f>
        <v>0</v>
      </c>
      <c r="F56" s="18">
        <f>F50*(1+Premissas_V2!$B$9)</f>
        <v>17509.599999999999</v>
      </c>
      <c r="G56" s="18">
        <f t="shared" si="3"/>
        <v>1808.1799999999985</v>
      </c>
      <c r="H56" s="27">
        <f t="shared" si="4"/>
        <v>0.1151602848659547</v>
      </c>
    </row>
    <row r="57" spans="1:8">
      <c r="A57" s="9">
        <v>46266</v>
      </c>
      <c r="B57" t="s">
        <v>53</v>
      </c>
      <c r="C57" t="s">
        <v>108</v>
      </c>
      <c r="D57" s="26">
        <v>11539.22</v>
      </c>
      <c r="E57" s="18">
        <f>SUMIFS(Base_Lancamentos!$F$4:$F$59,Base_Lancamentos!$B$4:$B$59,$A57,Base_Lancamentos!$D$4:$D$59,$B57)</f>
        <v>0</v>
      </c>
      <c r="F57" s="18">
        <f>F51*(1+Premissas_V2!$B$10)</f>
        <v>13054.8</v>
      </c>
      <c r="G57" s="18">
        <f t="shared" si="3"/>
        <v>1515.58</v>
      </c>
      <c r="H57" s="27">
        <f t="shared" si="4"/>
        <v>0.13134163314331471</v>
      </c>
    </row>
    <row r="58" spans="1:8">
      <c r="A58" s="9">
        <v>46296</v>
      </c>
      <c r="B58" t="s">
        <v>40</v>
      </c>
      <c r="C58" t="s">
        <v>107</v>
      </c>
      <c r="D58" s="26">
        <v>82191.710000000006</v>
      </c>
      <c r="E58" s="18">
        <f>SUMIFS(Base_Lancamentos!$F$4:$F$59,Base_Lancamentos!$B$4:$B$59,$A58,Base_Lancamentos!$D$4:$D$59,$B58)</f>
        <v>0</v>
      </c>
      <c r="F58" s="18">
        <f>F52*(1+Premissas_V2!$B$5)</f>
        <v>89274.735000000001</v>
      </c>
      <c r="G58" s="18">
        <f t="shared" si="3"/>
        <v>7083.0249999999942</v>
      </c>
      <c r="H58" s="27">
        <f t="shared" si="4"/>
        <v>8.6176878422410161E-2</v>
      </c>
    </row>
    <row r="59" spans="1:8">
      <c r="A59" s="9">
        <v>46296</v>
      </c>
      <c r="B59" t="s">
        <v>44</v>
      </c>
      <c r="C59" t="s">
        <v>107</v>
      </c>
      <c r="D59" s="26">
        <v>13073.88</v>
      </c>
      <c r="E59" s="18">
        <f>SUMIFS(Base_Lancamentos!$F$4:$F$59,Base_Lancamentos!$B$4:$B$59,$A59,Base_Lancamentos!$D$4:$D$59,$B59)</f>
        <v>0</v>
      </c>
      <c r="F59" s="18">
        <f>F53*(1+Premissas_V2!$B$6)</f>
        <v>15148.485000000001</v>
      </c>
      <c r="G59" s="18">
        <f t="shared" si="3"/>
        <v>2074.6050000000014</v>
      </c>
      <c r="H59" s="27">
        <f t="shared" si="4"/>
        <v>0.15868319121790941</v>
      </c>
    </row>
    <row r="60" spans="1:8">
      <c r="A60" s="9">
        <v>46296</v>
      </c>
      <c r="B60" t="s">
        <v>49</v>
      </c>
      <c r="C60" t="s">
        <v>108</v>
      </c>
      <c r="D60" s="26">
        <v>18045.810000000001</v>
      </c>
      <c r="E60" s="18">
        <f>SUMIFS(Base_Lancamentos!$F$4:$F$59,Base_Lancamentos!$B$4:$B$59,$A60,Base_Lancamentos!$D$4:$D$59,$B60)</f>
        <v>0</v>
      </c>
      <c r="F60" s="18">
        <f>F54*(1+Premissas_V2!$B$7)</f>
        <v>20579.111999999997</v>
      </c>
      <c r="G60" s="18">
        <f t="shared" si="3"/>
        <v>2533.301999999996</v>
      </c>
      <c r="H60" s="27">
        <f t="shared" si="4"/>
        <v>0.14038172850096481</v>
      </c>
    </row>
    <row r="61" spans="1:8">
      <c r="A61" s="9">
        <v>46296</v>
      </c>
      <c r="B61" t="s">
        <v>47</v>
      </c>
      <c r="C61" t="s">
        <v>108</v>
      </c>
      <c r="D61" s="26">
        <v>32230.43</v>
      </c>
      <c r="E61" s="18">
        <f>SUMIFS(Base_Lancamentos!$F$4:$F$59,Base_Lancamentos!$B$4:$B$59,$A61,Base_Lancamentos!$D$4:$D$59,$B61)</f>
        <v>0</v>
      </c>
      <c r="F61" s="18">
        <f>F55*(1+Premissas_V2!$B$8)</f>
        <v>37211.726999999992</v>
      </c>
      <c r="G61" s="18">
        <f t="shared" si="3"/>
        <v>4981.2969999999914</v>
      </c>
      <c r="H61" s="27">
        <f t="shared" si="4"/>
        <v>0.1545526075823373</v>
      </c>
    </row>
    <row r="62" spans="1:8">
      <c r="A62" s="9">
        <v>46296</v>
      </c>
      <c r="B62" t="s">
        <v>51</v>
      </c>
      <c r="C62" t="s">
        <v>108</v>
      </c>
      <c r="D62" s="26">
        <v>15858.44</v>
      </c>
      <c r="E62" s="18">
        <f>SUMIFS(Base_Lancamentos!$F$4:$F$59,Base_Lancamentos!$B$4:$B$59,$A62,Base_Lancamentos!$D$4:$D$59,$B62)</f>
        <v>0</v>
      </c>
      <c r="F62" s="18">
        <f>F56*(1+Premissas_V2!$B$9)</f>
        <v>17824.772799999999</v>
      </c>
      <c r="G62" s="18">
        <f t="shared" si="3"/>
        <v>1966.3327999999983</v>
      </c>
      <c r="H62" s="27">
        <f t="shared" si="4"/>
        <v>0.12399282653274839</v>
      </c>
    </row>
    <row r="63" spans="1:8">
      <c r="A63" s="9">
        <v>46296</v>
      </c>
      <c r="B63" t="s">
        <v>53</v>
      </c>
      <c r="C63" t="s">
        <v>108</v>
      </c>
      <c r="D63" s="26">
        <v>11608.46</v>
      </c>
      <c r="E63" s="18">
        <f>SUMIFS(Base_Lancamentos!$F$4:$F$59,Base_Lancamentos!$B$4:$B$59,$A63,Base_Lancamentos!$D$4:$D$59,$B63)</f>
        <v>0</v>
      </c>
      <c r="F63" s="18">
        <f>F57*(1+Premissas_V2!$B$10)</f>
        <v>13211.4576</v>
      </c>
      <c r="G63" s="18">
        <f t="shared" si="3"/>
        <v>1602.9976000000006</v>
      </c>
      <c r="H63" s="27">
        <f t="shared" si="4"/>
        <v>0.138088738730202</v>
      </c>
    </row>
    <row r="64" spans="1:8">
      <c r="A64" s="9">
        <v>46327</v>
      </c>
      <c r="B64" t="s">
        <v>40</v>
      </c>
      <c r="C64" t="s">
        <v>107</v>
      </c>
      <c r="D64" s="26">
        <v>83671.17</v>
      </c>
      <c r="E64" s="18">
        <f>SUMIFS(Base_Lancamentos!$F$4:$F$59,Base_Lancamentos!$B$4:$B$59,$A64,Base_Lancamentos!$D$4:$D$59,$B64)</f>
        <v>0</v>
      </c>
      <c r="F64" s="18">
        <f>F58*(1+Premissas_V2!$B$5)</f>
        <v>91952.977050000001</v>
      </c>
      <c r="G64" s="18">
        <f t="shared" si="3"/>
        <v>8281.8070500000031</v>
      </c>
      <c r="H64" s="27">
        <f t="shared" si="4"/>
        <v>9.8980414042256173E-2</v>
      </c>
    </row>
    <row r="65" spans="1:8">
      <c r="A65" s="9">
        <v>46327</v>
      </c>
      <c r="B65" t="s">
        <v>44</v>
      </c>
      <c r="C65" t="s">
        <v>107</v>
      </c>
      <c r="D65" s="26">
        <v>13139.25</v>
      </c>
      <c r="E65" s="18">
        <f>SUMIFS(Base_Lancamentos!$F$4:$F$59,Base_Lancamentos!$B$4:$B$59,$A65,Base_Lancamentos!$D$4:$D$59,$B65)</f>
        <v>0</v>
      </c>
      <c r="F65" s="18">
        <f>F59*(1+Premissas_V2!$B$6)</f>
        <v>15299.969850000001</v>
      </c>
      <c r="G65" s="18">
        <f t="shared" si="3"/>
        <v>2160.7198500000013</v>
      </c>
      <c r="H65" s="27">
        <f t="shared" si="4"/>
        <v>0.16444773103487653</v>
      </c>
    </row>
    <row r="66" spans="1:8">
      <c r="A66" s="9">
        <v>46327</v>
      </c>
      <c r="B66" t="s">
        <v>49</v>
      </c>
      <c r="C66" t="s">
        <v>108</v>
      </c>
      <c r="D66" s="26">
        <v>18226.27</v>
      </c>
      <c r="E66" s="18">
        <f>SUMIFS(Base_Lancamentos!$F$4:$F$59,Base_Lancamentos!$B$4:$B$59,$A66,Base_Lancamentos!$D$4:$D$59,$B66)</f>
        <v>0</v>
      </c>
      <c r="F66" s="18">
        <f>F60*(1+Premissas_V2!$B$7)</f>
        <v>20990.694239999997</v>
      </c>
      <c r="G66" s="18">
        <f t="shared" si="3"/>
        <v>2764.4242399999966</v>
      </c>
      <c r="H66" s="27">
        <f t="shared" si="4"/>
        <v>0.15167251664767376</v>
      </c>
    </row>
    <row r="67" spans="1:8">
      <c r="A67" s="9">
        <v>46327</v>
      </c>
      <c r="B67" t="s">
        <v>47</v>
      </c>
      <c r="C67" t="s">
        <v>108</v>
      </c>
      <c r="D67" s="26">
        <v>32488.27</v>
      </c>
      <c r="E67" s="18">
        <f>SUMIFS(Base_Lancamentos!$F$4:$F$59,Base_Lancamentos!$B$4:$B$59,$A67,Base_Lancamentos!$D$4:$D$59,$B67)</f>
        <v>0</v>
      </c>
      <c r="F67" s="18">
        <f>F61*(1+Premissas_V2!$B$8)</f>
        <v>37769.902904999988</v>
      </c>
      <c r="G67" s="18">
        <f t="shared" si="3"/>
        <v>5281.6329049999877</v>
      </c>
      <c r="H67" s="27">
        <f t="shared" si="4"/>
        <v>0.16257045712190854</v>
      </c>
    </row>
    <row r="68" spans="1:8">
      <c r="A68" s="9">
        <v>46327</v>
      </c>
      <c r="B68" t="s">
        <v>51</v>
      </c>
      <c r="C68" t="s">
        <v>108</v>
      </c>
      <c r="D68" s="26">
        <v>16017.02</v>
      </c>
      <c r="E68" s="18">
        <f>SUMIFS(Base_Lancamentos!$F$4:$F$59,Base_Lancamentos!$B$4:$B$59,$A68,Base_Lancamentos!$D$4:$D$59,$B68)</f>
        <v>0</v>
      </c>
      <c r="F68" s="18">
        <f>F62*(1+Premissas_V2!$B$9)</f>
        <v>18145.618710399998</v>
      </c>
      <c r="G68" s="18">
        <f t="shared" ref="G68:G99" si="5">F68-D68</f>
        <v>2128.5987103999978</v>
      </c>
      <c r="H68" s="27">
        <f t="shared" ref="H68:H99" si="6">IF(D68=0,0,G68/D68)</f>
        <v>0.13289605122550871</v>
      </c>
    </row>
    <row r="69" spans="1:8">
      <c r="A69" s="9">
        <v>46327</v>
      </c>
      <c r="B69" t="s">
        <v>53</v>
      </c>
      <c r="C69" t="s">
        <v>108</v>
      </c>
      <c r="D69" s="26">
        <v>11678.11</v>
      </c>
      <c r="E69" s="18">
        <f>SUMIFS(Base_Lancamentos!$F$4:$F$59,Base_Lancamentos!$B$4:$B$59,$A69,Base_Lancamentos!$D$4:$D$59,$B69)</f>
        <v>0</v>
      </c>
      <c r="F69" s="18">
        <f>F63*(1+Premissas_V2!$B$10)</f>
        <v>13369.9950912</v>
      </c>
      <c r="G69" s="18">
        <f t="shared" si="5"/>
        <v>1691.8850911999998</v>
      </c>
      <c r="H69" s="27">
        <f t="shared" si="6"/>
        <v>0.1448766188364384</v>
      </c>
    </row>
    <row r="70" spans="1:8">
      <c r="A70" s="9">
        <v>46357</v>
      </c>
      <c r="B70" t="s">
        <v>40</v>
      </c>
      <c r="C70" t="s">
        <v>107</v>
      </c>
      <c r="D70" s="26">
        <v>85177.25</v>
      </c>
      <c r="E70" s="18">
        <f>SUMIFS(Base_Lancamentos!$F$4:$F$59,Base_Lancamentos!$B$4:$B$59,$A70,Base_Lancamentos!$D$4:$D$59,$B70)</f>
        <v>0</v>
      </c>
      <c r="F70" s="18">
        <f>F64*(1+Premissas_V2!$B$5)</f>
        <v>94711.566361500008</v>
      </c>
      <c r="G70" s="18">
        <f t="shared" si="5"/>
        <v>9534.3163615000085</v>
      </c>
      <c r="H70" s="27">
        <f t="shared" si="6"/>
        <v>0.11193501036368289</v>
      </c>
    </row>
    <row r="71" spans="1:8">
      <c r="A71" s="9">
        <v>46357</v>
      </c>
      <c r="B71" t="s">
        <v>44</v>
      </c>
      <c r="C71" t="s">
        <v>107</v>
      </c>
      <c r="D71" s="26">
        <v>13204.95</v>
      </c>
      <c r="E71" s="18">
        <f>SUMIFS(Base_Lancamentos!$F$4:$F$59,Base_Lancamentos!$B$4:$B$59,$A71,Base_Lancamentos!$D$4:$D$59,$B71)</f>
        <v>0</v>
      </c>
      <c r="F71" s="18">
        <f>F65*(1+Premissas_V2!$B$6)</f>
        <v>15452.969548500001</v>
      </c>
      <c r="G71" s="18">
        <f t="shared" si="5"/>
        <v>2248.0195485000004</v>
      </c>
      <c r="H71" s="27">
        <f t="shared" si="6"/>
        <v>0.17024067099837562</v>
      </c>
    </row>
    <row r="72" spans="1:8">
      <c r="A72" s="9">
        <v>46357</v>
      </c>
      <c r="B72" t="s">
        <v>49</v>
      </c>
      <c r="C72" t="s">
        <v>108</v>
      </c>
      <c r="D72" s="26">
        <v>18408.53</v>
      </c>
      <c r="E72" s="18">
        <f>SUMIFS(Base_Lancamentos!$F$4:$F$59,Base_Lancamentos!$B$4:$B$59,$A72,Base_Lancamentos!$D$4:$D$59,$B72)</f>
        <v>0</v>
      </c>
      <c r="F72" s="18">
        <f>F66*(1+Premissas_V2!$B$7)</f>
        <v>21410.508124799999</v>
      </c>
      <c r="G72" s="18">
        <f t="shared" si="5"/>
        <v>3001.9781247999999</v>
      </c>
      <c r="H72" s="27">
        <f t="shared" si="6"/>
        <v>0.16307538542186695</v>
      </c>
    </row>
    <row r="73" spans="1:8">
      <c r="A73" s="9">
        <v>46357</v>
      </c>
      <c r="B73" t="s">
        <v>47</v>
      </c>
      <c r="C73" t="s">
        <v>108</v>
      </c>
      <c r="D73" s="26">
        <v>32748.18</v>
      </c>
      <c r="E73" s="18">
        <f>SUMIFS(Base_Lancamentos!$F$4:$F$59,Base_Lancamentos!$B$4:$B$59,$A73,Base_Lancamentos!$D$4:$D$59,$B73)</f>
        <v>0</v>
      </c>
      <c r="F73" s="18">
        <f>F67*(1+Premissas_V2!$B$8)</f>
        <v>38336.451448574982</v>
      </c>
      <c r="G73" s="18">
        <f t="shared" si="5"/>
        <v>5588.2714485749821</v>
      </c>
      <c r="H73" s="27">
        <f t="shared" si="6"/>
        <v>0.17064372580628853</v>
      </c>
    </row>
    <row r="74" spans="1:8">
      <c r="A74" s="9">
        <v>46357</v>
      </c>
      <c r="B74" t="s">
        <v>51</v>
      </c>
      <c r="C74" t="s">
        <v>108</v>
      </c>
      <c r="D74" s="26">
        <v>16177.19</v>
      </c>
      <c r="E74" s="18">
        <f>SUMIFS(Base_Lancamentos!$F$4:$F$59,Base_Lancamentos!$B$4:$B$59,$A74,Base_Lancamentos!$D$4:$D$59,$B74)</f>
        <v>0</v>
      </c>
      <c r="F74" s="18">
        <f>F68*(1+Premissas_V2!$B$9)</f>
        <v>18472.2398471872</v>
      </c>
      <c r="G74" s="18">
        <f t="shared" si="5"/>
        <v>2295.0498471871997</v>
      </c>
      <c r="H74" s="27">
        <f t="shared" si="6"/>
        <v>0.14186949941165305</v>
      </c>
    </row>
    <row r="75" spans="1:8">
      <c r="A75" s="9">
        <v>46357</v>
      </c>
      <c r="B75" t="s">
        <v>53</v>
      </c>
      <c r="C75" t="s">
        <v>108</v>
      </c>
      <c r="D75" s="26">
        <v>11748.18</v>
      </c>
      <c r="E75" s="18">
        <f>SUMIFS(Base_Lancamentos!$F$4:$F$59,Base_Lancamentos!$B$4:$B$59,$A75,Base_Lancamentos!$D$4:$D$59,$B75)</f>
        <v>0</v>
      </c>
      <c r="F75" s="18">
        <f>F69*(1+Premissas_V2!$B$10)</f>
        <v>13530.435032294401</v>
      </c>
      <c r="G75" s="18">
        <f t="shared" si="5"/>
        <v>1782.2550322944007</v>
      </c>
      <c r="H75" s="27">
        <f t="shared" si="6"/>
        <v>0.15170477744590233</v>
      </c>
    </row>
  </sheetData>
  <mergeCells count="1">
    <mergeCell ref="A1:H1"/>
  </mergeCells>
  <conditionalFormatting sqref="G4:G75">
    <cfRule type="expression" dxfId="12" priority="1">
      <formula>G4&lt;0</formula>
    </cfRule>
    <cfRule type="expression" dxfId="11" priority="2">
      <formula>G4&gt;0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"/>
  <sheetViews>
    <sheetView showGridLines="0" showRowColHeaders="0" zoomScale="60" zoomScaleNormal="60" workbookViewId="0">
      <selection activeCell="N30" sqref="N3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34" customWidth="1"/>
    <col min="2" max="13" width="13" customWidth="1"/>
    <col min="14" max="14" width="15.375" bestFit="1" customWidth="1"/>
    <col min="15" max="15" width="15.125" bestFit="1" customWidth="1"/>
    <col min="16" max="17" width="13" customWidth="1"/>
  </cols>
  <sheetData>
    <row r="1" spans="1:17" ht="19.5">
      <c r="A1" s="77" t="s">
        <v>109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3" spans="1:17" ht="15">
      <c r="A3" s="24" t="s">
        <v>110</v>
      </c>
      <c r="B3" s="24" t="s">
        <v>7</v>
      </c>
      <c r="C3" s="24" t="s">
        <v>8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19</v>
      </c>
      <c r="I3" s="24" t="s">
        <v>20</v>
      </c>
      <c r="J3" s="24" t="s">
        <v>21</v>
      </c>
      <c r="K3" s="24" t="s">
        <v>22</v>
      </c>
      <c r="L3" s="24" t="s">
        <v>23</v>
      </c>
      <c r="M3" s="24" t="s">
        <v>24</v>
      </c>
      <c r="N3" s="24" t="s">
        <v>111</v>
      </c>
      <c r="O3" s="24" t="s">
        <v>112</v>
      </c>
      <c r="P3" s="24" t="s">
        <v>113</v>
      </c>
      <c r="Q3" s="24" t="s">
        <v>114</v>
      </c>
    </row>
    <row r="4" spans="1:17">
      <c r="A4" t="s">
        <v>40</v>
      </c>
      <c r="B4" s="18">
        <f>Orcado_Forecast!F4</f>
        <v>69700</v>
      </c>
      <c r="C4" s="18">
        <f>Orcado_Forecast!F10</f>
        <v>67150</v>
      </c>
      <c r="D4" s="18">
        <f>Orcado_Forecast!F16</f>
        <v>77350</v>
      </c>
      <c r="E4" s="18">
        <f>Orcado_Forecast!F22</f>
        <v>73950</v>
      </c>
      <c r="F4" s="18">
        <f>Orcado_Forecast!F28</f>
        <v>79900</v>
      </c>
      <c r="G4" s="18">
        <f>Orcado_Forecast!F34</f>
        <v>82450</v>
      </c>
      <c r="H4" s="18">
        <f>Orcado_Forecast!F40</f>
        <v>85850</v>
      </c>
      <c r="I4" s="18">
        <f>Orcado_Forecast!F46</f>
        <v>84150</v>
      </c>
      <c r="J4" s="18">
        <f>Orcado_Forecast!F52</f>
        <v>86674.5</v>
      </c>
      <c r="K4" s="18">
        <f>Orcado_Forecast!F58</f>
        <v>89274.735000000001</v>
      </c>
      <c r="L4" s="18">
        <f>Orcado_Forecast!F64</f>
        <v>91952.977050000001</v>
      </c>
      <c r="M4" s="18">
        <f>Orcado_Forecast!F70</f>
        <v>94711.566361500008</v>
      </c>
      <c r="N4" s="18">
        <f>SUMIFS(Orcado_Forecast!$D$4:$D$75,Orcado_Forecast!$B$4:$B$75,"Receita Operacional")</f>
        <v>928357.63</v>
      </c>
      <c r="O4" s="18">
        <f>SUMIFS(Orcado_Forecast!$F$4:$F$75,Orcado_Forecast!$B$4:$B$75,"Receita Operacional")</f>
        <v>983113.77841149992</v>
      </c>
      <c r="P4" s="18">
        <f t="shared" ref="P4:P13" si="0">O4-N4</f>
        <v>54756.148411499918</v>
      </c>
      <c r="Q4" s="27">
        <f t="shared" ref="Q4:Q12" si="1">IF(N4=0,0,P4/ABS(N4))</f>
        <v>5.8981740055823011E-2</v>
      </c>
    </row>
    <row r="5" spans="1:17">
      <c r="A5" t="s">
        <v>44</v>
      </c>
      <c r="B5" s="18">
        <f>Orcado_Forecast!F5</f>
        <v>12300</v>
      </c>
      <c r="C5" s="18">
        <f>Orcado_Forecast!F11</f>
        <v>11850</v>
      </c>
      <c r="D5" s="18">
        <f>Orcado_Forecast!F17</f>
        <v>13650</v>
      </c>
      <c r="E5" s="18">
        <f>Orcado_Forecast!F23</f>
        <v>13050</v>
      </c>
      <c r="F5" s="18">
        <f>Orcado_Forecast!F29</f>
        <v>14100</v>
      </c>
      <c r="G5" s="18">
        <f>Orcado_Forecast!F35</f>
        <v>14550</v>
      </c>
      <c r="H5" s="18">
        <f>Orcado_Forecast!F41</f>
        <v>15150</v>
      </c>
      <c r="I5" s="18">
        <f>Orcado_Forecast!F47</f>
        <v>14850</v>
      </c>
      <c r="J5" s="18">
        <f>Orcado_Forecast!F53</f>
        <v>14998.5</v>
      </c>
      <c r="K5" s="18">
        <f>Orcado_Forecast!F59</f>
        <v>15148.485000000001</v>
      </c>
      <c r="L5" s="18">
        <f>Orcado_Forecast!F65</f>
        <v>15299.969850000001</v>
      </c>
      <c r="M5" s="18">
        <f>Orcado_Forecast!F71</f>
        <v>15452.969548500001</v>
      </c>
      <c r="N5" s="18">
        <f>SUMIFS(Orcado_Forecast!$D$4:$D$75,Orcado_Forecast!$B$4:$B$75,"Outras Receitas")</f>
        <v>154194.53</v>
      </c>
      <c r="O5" s="18">
        <f>SUMIFS(Orcado_Forecast!$F$4:$F$75,Orcado_Forecast!$B$4:$B$75,"Outras Receitas")</f>
        <v>170399.92439849998</v>
      </c>
      <c r="P5" s="18">
        <f t="shared" si="0"/>
        <v>16205.394398499979</v>
      </c>
      <c r="Q5" s="27">
        <f t="shared" si="1"/>
        <v>0.10509707703963285</v>
      </c>
    </row>
    <row r="6" spans="1:17" ht="15">
      <c r="A6" s="29" t="s">
        <v>115</v>
      </c>
      <c r="B6" s="30">
        <f t="shared" ref="B6:O6" si="2">B4+B5</f>
        <v>82000</v>
      </c>
      <c r="C6" s="30">
        <f t="shared" si="2"/>
        <v>79000</v>
      </c>
      <c r="D6" s="30">
        <f t="shared" si="2"/>
        <v>91000</v>
      </c>
      <c r="E6" s="30">
        <f t="shared" si="2"/>
        <v>87000</v>
      </c>
      <c r="F6" s="30">
        <f t="shared" si="2"/>
        <v>94000</v>
      </c>
      <c r="G6" s="30">
        <f t="shared" si="2"/>
        <v>97000</v>
      </c>
      <c r="H6" s="30">
        <f t="shared" si="2"/>
        <v>101000</v>
      </c>
      <c r="I6" s="30">
        <f t="shared" si="2"/>
        <v>99000</v>
      </c>
      <c r="J6" s="30">
        <f t="shared" si="2"/>
        <v>101673</v>
      </c>
      <c r="K6" s="30">
        <f t="shared" si="2"/>
        <v>104423.22</v>
      </c>
      <c r="L6" s="30">
        <f t="shared" si="2"/>
        <v>107252.94690000001</v>
      </c>
      <c r="M6" s="30">
        <f t="shared" si="2"/>
        <v>110164.53591000001</v>
      </c>
      <c r="N6" s="30">
        <f t="shared" si="2"/>
        <v>1082552.1599999999</v>
      </c>
      <c r="O6" s="30">
        <f t="shared" si="2"/>
        <v>1153513.7028099999</v>
      </c>
      <c r="P6" s="30">
        <f t="shared" si="0"/>
        <v>70961.542810000014</v>
      </c>
      <c r="Q6" s="31">
        <f t="shared" si="1"/>
        <v>6.5550229755211076E-2</v>
      </c>
    </row>
    <row r="7" spans="1:17">
      <c r="A7" t="s">
        <v>116</v>
      </c>
      <c r="B7" s="18">
        <f>-Orcado_Forecast!F6</f>
        <v>-15640</v>
      </c>
      <c r="C7" s="18">
        <f>-Orcado_Forecast!F12</f>
        <v>-16560</v>
      </c>
      <c r="D7" s="18">
        <f>-Orcado_Forecast!F18</f>
        <v>-17135</v>
      </c>
      <c r="E7" s="18">
        <f>-Orcado_Forecast!F24</f>
        <v>-17480</v>
      </c>
      <c r="F7" s="18">
        <f>-Orcado_Forecast!F30</f>
        <v>-18055</v>
      </c>
      <c r="G7" s="18">
        <f>-Orcado_Forecast!F36</f>
        <v>-18860</v>
      </c>
      <c r="H7" s="18">
        <f>-Orcado_Forecast!F42</f>
        <v>-19435</v>
      </c>
      <c r="I7" s="18">
        <f>-Orcado_Forecast!F48</f>
        <v>-19780</v>
      </c>
      <c r="J7" s="18">
        <f>-Orcado_Forecast!F54</f>
        <v>-20175.599999999999</v>
      </c>
      <c r="K7" s="18">
        <f>-Orcado_Forecast!F60</f>
        <v>-20579.111999999997</v>
      </c>
      <c r="L7" s="18">
        <f>-Orcado_Forecast!F66</f>
        <v>-20990.694239999997</v>
      </c>
      <c r="M7" s="18">
        <f>-Orcado_Forecast!F72</f>
        <v>-21410.508124799999</v>
      </c>
      <c r="N7" s="18">
        <f>-SUMIFS(Orcado_Forecast!$D$4:$D$75,Orcado_Forecast!$B$4:$B$75,"Fornecedores")</f>
        <v>-209261.32</v>
      </c>
      <c r="O7" s="18">
        <f>-SUMIFS(Orcado_Forecast!$F$4:$F$75,Orcado_Forecast!$B$4:$B$75,"Fornecedores")</f>
        <v>-226100.91436479997</v>
      </c>
      <c r="P7" s="18">
        <f t="shared" si="0"/>
        <v>-16839.594364799967</v>
      </c>
      <c r="Q7" s="27">
        <f t="shared" si="1"/>
        <v>-8.0471605382208072E-2</v>
      </c>
    </row>
    <row r="8" spans="1:17" ht="15">
      <c r="A8" s="29" t="s">
        <v>117</v>
      </c>
      <c r="B8" s="30">
        <f t="shared" ref="B8:O8" si="3">B6+B7</f>
        <v>66360</v>
      </c>
      <c r="C8" s="30">
        <f t="shared" si="3"/>
        <v>62440</v>
      </c>
      <c r="D8" s="30">
        <f t="shared" si="3"/>
        <v>73865</v>
      </c>
      <c r="E8" s="30">
        <f t="shared" si="3"/>
        <v>69520</v>
      </c>
      <c r="F8" s="30">
        <f t="shared" si="3"/>
        <v>75945</v>
      </c>
      <c r="G8" s="30">
        <f t="shared" si="3"/>
        <v>78140</v>
      </c>
      <c r="H8" s="30">
        <f t="shared" si="3"/>
        <v>81565</v>
      </c>
      <c r="I8" s="30">
        <f t="shared" si="3"/>
        <v>79220</v>
      </c>
      <c r="J8" s="30">
        <f t="shared" si="3"/>
        <v>81497.399999999994</v>
      </c>
      <c r="K8" s="30">
        <f t="shared" si="3"/>
        <v>83844.108000000007</v>
      </c>
      <c r="L8" s="30">
        <f t="shared" si="3"/>
        <v>86262.252660000013</v>
      </c>
      <c r="M8" s="30">
        <f t="shared" si="3"/>
        <v>88754.027785200014</v>
      </c>
      <c r="N8" s="30">
        <f t="shared" si="3"/>
        <v>873290.83999999985</v>
      </c>
      <c r="O8" s="30">
        <f t="shared" si="3"/>
        <v>927412.78844519996</v>
      </c>
      <c r="P8" s="30">
        <f t="shared" si="0"/>
        <v>54121.948445200105</v>
      </c>
      <c r="Q8" s="31">
        <f t="shared" si="1"/>
        <v>6.1974712164850045E-2</v>
      </c>
    </row>
    <row r="9" spans="1:17">
      <c r="A9" t="s">
        <v>118</v>
      </c>
      <c r="B9" s="18">
        <f>-Orcado_Forecast!F7</f>
        <v>-28560</v>
      </c>
      <c r="C9" s="18">
        <f>-Orcado_Forecast!F13</f>
        <v>-30240</v>
      </c>
      <c r="D9" s="18">
        <f>-Orcado_Forecast!F19</f>
        <v>-31290</v>
      </c>
      <c r="E9" s="18">
        <f>-Orcado_Forecast!F25</f>
        <v>-31920</v>
      </c>
      <c r="F9" s="18">
        <f>-Orcado_Forecast!F31</f>
        <v>-32970</v>
      </c>
      <c r="G9" s="18">
        <f>-Orcado_Forecast!F37</f>
        <v>-34440</v>
      </c>
      <c r="H9" s="18">
        <f>-Orcado_Forecast!F43</f>
        <v>-35490</v>
      </c>
      <c r="I9" s="18">
        <f>-Orcado_Forecast!F49</f>
        <v>-36120</v>
      </c>
      <c r="J9" s="18">
        <f>-Orcado_Forecast!F55</f>
        <v>-36661.799999999996</v>
      </c>
      <c r="K9" s="18">
        <f>-Orcado_Forecast!F61</f>
        <v>-37211.726999999992</v>
      </c>
      <c r="L9" s="18">
        <f>-Orcado_Forecast!F67</f>
        <v>-37769.902904999988</v>
      </c>
      <c r="M9" s="18">
        <f>-Orcado_Forecast!F73</f>
        <v>-38336.451448574982</v>
      </c>
      <c r="N9" s="18">
        <f>-SUMIFS(Orcado_Forecast!$D$4:$D$75,Orcado_Forecast!$B$4:$B$75,"Pessoal")</f>
        <v>-376270.11</v>
      </c>
      <c r="O9" s="18">
        <f>-SUMIFS(Orcado_Forecast!$F$4:$F$75,Orcado_Forecast!$B$4:$B$75,"Pessoal")</f>
        <v>-411009.88135357492</v>
      </c>
      <c r="P9" s="18">
        <f t="shared" si="0"/>
        <v>-34739.771353574935</v>
      </c>
      <c r="Q9" s="27">
        <f t="shared" si="1"/>
        <v>-9.2326683492278822E-2</v>
      </c>
    </row>
    <row r="10" spans="1:17">
      <c r="A10" t="s">
        <v>119</v>
      </c>
      <c r="B10" s="18">
        <f>-Orcado_Forecast!F8</f>
        <v>-13600</v>
      </c>
      <c r="C10" s="18">
        <f>-Orcado_Forecast!F14</f>
        <v>-14400</v>
      </c>
      <c r="D10" s="18">
        <f>-Orcado_Forecast!F20</f>
        <v>-14900</v>
      </c>
      <c r="E10" s="18">
        <f>-Orcado_Forecast!F26</f>
        <v>-15200</v>
      </c>
      <c r="F10" s="18">
        <f>-Orcado_Forecast!F32</f>
        <v>-15700</v>
      </c>
      <c r="G10" s="18">
        <f>-Orcado_Forecast!F38</f>
        <v>-16400</v>
      </c>
      <c r="H10" s="18">
        <f>-Orcado_Forecast!F44</f>
        <v>-16900</v>
      </c>
      <c r="I10" s="18">
        <f>-Orcado_Forecast!F50</f>
        <v>-17200</v>
      </c>
      <c r="J10" s="18">
        <f>-Orcado_Forecast!F56</f>
        <v>-17509.599999999999</v>
      </c>
      <c r="K10" s="18">
        <f>-Orcado_Forecast!F62</f>
        <v>-17824.772799999999</v>
      </c>
      <c r="L10" s="18">
        <f>-Orcado_Forecast!F68</f>
        <v>-18145.618710399998</v>
      </c>
      <c r="M10" s="18">
        <f>-Orcado_Forecast!F74</f>
        <v>-18472.2398471872</v>
      </c>
      <c r="N10" s="18">
        <f>-SUMIFS(Orcado_Forecast!$D$4:$D$75,Orcado_Forecast!$B$4:$B$75,"Tributos")</f>
        <v>-183896.28999999998</v>
      </c>
      <c r="O10" s="18">
        <f>-SUMIFS(Orcado_Forecast!$F$4:$F$75,Orcado_Forecast!$B$4:$B$75,"Tributos")</f>
        <v>-196252.23135758721</v>
      </c>
      <c r="P10" s="18">
        <f t="shared" si="0"/>
        <v>-12355.941357587231</v>
      </c>
      <c r="Q10" s="27">
        <f t="shared" si="1"/>
        <v>-6.7189726109141368E-2</v>
      </c>
    </row>
    <row r="11" spans="1:17">
      <c r="A11" t="s">
        <v>120</v>
      </c>
      <c r="B11" s="18">
        <f>-Orcado_Forecast!F9</f>
        <v>-10200</v>
      </c>
      <c r="C11" s="18">
        <f>-Orcado_Forecast!F15</f>
        <v>-10800</v>
      </c>
      <c r="D11" s="18">
        <f>-Orcado_Forecast!F21</f>
        <v>-11175</v>
      </c>
      <c r="E11" s="18">
        <f>-Orcado_Forecast!F27</f>
        <v>-11400</v>
      </c>
      <c r="F11" s="18">
        <f>-Orcado_Forecast!F33</f>
        <v>-11775</v>
      </c>
      <c r="G11" s="18">
        <f>-Orcado_Forecast!F39</f>
        <v>-12300</v>
      </c>
      <c r="H11" s="18">
        <f>-Orcado_Forecast!F45</f>
        <v>-12675</v>
      </c>
      <c r="I11" s="18">
        <f>-Orcado_Forecast!F51</f>
        <v>-12900</v>
      </c>
      <c r="J11" s="18">
        <f>-Orcado_Forecast!F57</f>
        <v>-13054.8</v>
      </c>
      <c r="K11" s="18">
        <f>-Orcado_Forecast!F63</f>
        <v>-13211.4576</v>
      </c>
      <c r="L11" s="18">
        <f>-Orcado_Forecast!F69</f>
        <v>-13369.9950912</v>
      </c>
      <c r="M11" s="18">
        <f>-Orcado_Forecast!F75</f>
        <v>-13530.435032294401</v>
      </c>
      <c r="N11" s="18">
        <f>-SUMIFS(Orcado_Forecast!$D$4:$D$75,Orcado_Forecast!$B$4:$B$75,"Despesas Operacionais")</f>
        <v>-136444.32</v>
      </c>
      <c r="O11" s="18">
        <f>-SUMIFS(Orcado_Forecast!$F$4:$F$75,Orcado_Forecast!$B$4:$B$75,"Despesas Operacionais")</f>
        <v>-146391.6877234944</v>
      </c>
      <c r="P11" s="18">
        <f t="shared" si="0"/>
        <v>-9947.3677234943898</v>
      </c>
      <c r="Q11" s="27">
        <f t="shared" si="1"/>
        <v>-7.2904227332397487E-2</v>
      </c>
    </row>
    <row r="12" spans="1:17" ht="15">
      <c r="A12" s="32" t="s">
        <v>121</v>
      </c>
      <c r="B12" s="33">
        <f t="shared" ref="B12:O12" si="4">SUM(B8:B11)</f>
        <v>14000</v>
      </c>
      <c r="C12" s="33">
        <f t="shared" si="4"/>
        <v>7000</v>
      </c>
      <c r="D12" s="33">
        <f t="shared" si="4"/>
        <v>16500</v>
      </c>
      <c r="E12" s="33">
        <f t="shared" si="4"/>
        <v>11000</v>
      </c>
      <c r="F12" s="33">
        <f t="shared" si="4"/>
        <v>15500</v>
      </c>
      <c r="G12" s="33">
        <f t="shared" si="4"/>
        <v>15000</v>
      </c>
      <c r="H12" s="33">
        <f t="shared" si="4"/>
        <v>16500</v>
      </c>
      <c r="I12" s="33">
        <f t="shared" si="4"/>
        <v>13000</v>
      </c>
      <c r="J12" s="33">
        <f t="shared" si="4"/>
        <v>14271.2</v>
      </c>
      <c r="K12" s="33">
        <f t="shared" si="4"/>
        <v>15596.150600000017</v>
      </c>
      <c r="L12" s="33">
        <f t="shared" si="4"/>
        <v>16976.735953400028</v>
      </c>
      <c r="M12" s="33">
        <f t="shared" si="4"/>
        <v>18414.901457143431</v>
      </c>
      <c r="N12" s="33">
        <f t="shared" si="4"/>
        <v>176680.11999999988</v>
      </c>
      <c r="O12" s="33">
        <f t="shared" si="4"/>
        <v>173758.98801054343</v>
      </c>
      <c r="P12" s="33">
        <f t="shared" si="0"/>
        <v>-2921.1319894564513</v>
      </c>
      <c r="Q12" s="34">
        <f t="shared" si="1"/>
        <v>-1.6533450336441095E-2</v>
      </c>
    </row>
    <row r="13" spans="1:17">
      <c r="A13" s="35" t="s">
        <v>122</v>
      </c>
      <c r="B13" s="36">
        <f t="shared" ref="B13:O13" si="5">IF(B6=0,0,B12/B6)</f>
        <v>0.17073170731707318</v>
      </c>
      <c r="C13" s="36">
        <f t="shared" si="5"/>
        <v>8.8607594936708861E-2</v>
      </c>
      <c r="D13" s="36">
        <f t="shared" si="5"/>
        <v>0.18131868131868131</v>
      </c>
      <c r="E13" s="36">
        <f t="shared" si="5"/>
        <v>0.12643678160919541</v>
      </c>
      <c r="F13" s="36">
        <f t="shared" si="5"/>
        <v>0.16489361702127658</v>
      </c>
      <c r="G13" s="36">
        <f t="shared" si="5"/>
        <v>0.15463917525773196</v>
      </c>
      <c r="H13" s="36">
        <f t="shared" si="5"/>
        <v>0.16336633663366337</v>
      </c>
      <c r="I13" s="36">
        <f t="shared" si="5"/>
        <v>0.13131313131313133</v>
      </c>
      <c r="J13" s="36">
        <f t="shared" si="5"/>
        <v>0.14036371504725936</v>
      </c>
      <c r="K13" s="36">
        <f t="shared" si="5"/>
        <v>0.14935519705291617</v>
      </c>
      <c r="L13" s="36">
        <f t="shared" si="5"/>
        <v>0.15828689508390587</v>
      </c>
      <c r="M13" s="36">
        <f t="shared" si="5"/>
        <v>0.16715816306063927</v>
      </c>
      <c r="N13" s="36">
        <f t="shared" si="5"/>
        <v>0.1632070273639285</v>
      </c>
      <c r="O13" s="36">
        <f t="shared" si="5"/>
        <v>0.15063452439902572</v>
      </c>
      <c r="P13" s="36">
        <f t="shared" si="0"/>
        <v>-1.2572502964902782E-2</v>
      </c>
      <c r="Q13" s="36">
        <f>P13</f>
        <v>-1.2572502964902782E-2</v>
      </c>
    </row>
  </sheetData>
  <mergeCells count="1">
    <mergeCell ref="A1:Q1"/>
  </mergeCells>
  <conditionalFormatting sqref="P4:P12">
    <cfRule type="expression" dxfId="10" priority="1">
      <formula>P4&lt;0</formula>
    </cfRule>
    <cfRule type="expression" dxfId="9" priority="2">
      <formula>P4&gt;0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showGridLines="0" showRowColHeaders="0" zoomScale="80" zoomScaleNormal="80" workbookViewId="0">
      <selection activeCell="F20" sqref="F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26" customWidth="1"/>
    <col min="2" max="4" width="18" customWidth="1"/>
    <col min="5" max="5" width="14" customWidth="1"/>
    <col min="6" max="6" width="16" customWidth="1"/>
    <col min="7" max="7" width="58" customWidth="1"/>
    <col min="8" max="8" width="13" customWidth="1"/>
  </cols>
  <sheetData>
    <row r="1" spans="1:8" ht="19.5">
      <c r="A1" s="77" t="s">
        <v>123</v>
      </c>
      <c r="B1" s="77"/>
      <c r="C1" s="77"/>
      <c r="D1" s="77"/>
      <c r="E1" s="77"/>
      <c r="F1" s="77"/>
      <c r="G1" s="77"/>
      <c r="H1" s="77"/>
    </row>
    <row r="3" spans="1:8" ht="15">
      <c r="A3" s="24" t="s">
        <v>34</v>
      </c>
      <c r="B3" s="24" t="s">
        <v>124</v>
      </c>
      <c r="C3" s="24" t="s">
        <v>125</v>
      </c>
      <c r="D3" s="24" t="s">
        <v>126</v>
      </c>
      <c r="E3" s="24" t="s">
        <v>127</v>
      </c>
      <c r="F3" s="24" t="s">
        <v>128</v>
      </c>
      <c r="G3" s="24" t="s">
        <v>129</v>
      </c>
      <c r="H3" s="24" t="s">
        <v>130</v>
      </c>
    </row>
    <row r="4" spans="1:8" ht="28.5">
      <c r="A4" t="s">
        <v>40</v>
      </c>
      <c r="B4" s="18">
        <f>DRE_Gerencial!N4</f>
        <v>928357.63</v>
      </c>
      <c r="C4" s="18">
        <f>DRE_Gerencial!O4</f>
        <v>983113.77841149992</v>
      </c>
      <c r="D4" s="18">
        <f t="shared" ref="D4:D9" si="0">C4-B4</f>
        <v>54756.148411499918</v>
      </c>
      <c r="E4" s="27">
        <f t="shared" ref="E4:E9" si="1">IF(B4=0,0,D4/B4)</f>
        <v>5.8981740055823011E-2</v>
      </c>
      <c r="F4" s="37" t="str">
        <f>IF(D4&gt;=0,"Favorável","Desfavorável")</f>
        <v>Favorável</v>
      </c>
      <c r="G4" s="38" t="str">
        <f>IF(D4&gt;=0,"Receita acima do orçamento: investigar drivers positivos e sustentabilidade.","Receita abaixo do orçamento: revisar volume, preço, mix e timing de recebimentos.")</f>
        <v>Receita acima do orçamento: investigar drivers positivos e sustentabilidade.</v>
      </c>
      <c r="H4" s="37" t="str">
        <f t="shared" ref="H4:H9" si="2">IF(ABS(E4)&gt;=0.1,"Alta",IF(ABS(E4)&gt;=0.05,"Média","Baixa"))</f>
        <v>Média</v>
      </c>
    </row>
    <row r="5" spans="1:8" ht="28.5">
      <c r="A5" t="s">
        <v>44</v>
      </c>
      <c r="B5" s="18">
        <f>DRE_Gerencial!N5</f>
        <v>154194.53</v>
      </c>
      <c r="C5" s="18">
        <f>DRE_Gerencial!O5</f>
        <v>170399.92439849998</v>
      </c>
      <c r="D5" s="18">
        <f t="shared" si="0"/>
        <v>16205.394398499979</v>
      </c>
      <c r="E5" s="27">
        <f t="shared" si="1"/>
        <v>0.10509707703963285</v>
      </c>
      <c r="F5" s="37" t="str">
        <f>IF(D5&gt;=0,"Favorável","Desfavorável")</f>
        <v>Favorável</v>
      </c>
      <c r="G5" s="38" t="str">
        <f>IF(D5&gt;=0,"Receita acima do orçamento: investigar drivers positivos e sustentabilidade.","Receita abaixo do orçamento: revisar volume, preço, mix e timing de recebimentos.")</f>
        <v>Receita acima do orçamento: investigar drivers positivos e sustentabilidade.</v>
      </c>
      <c r="H5" s="37" t="str">
        <f t="shared" si="2"/>
        <v>Alta</v>
      </c>
    </row>
    <row r="6" spans="1:8" ht="28.5">
      <c r="A6" t="s">
        <v>49</v>
      </c>
      <c r="B6" s="18">
        <f>-DRE_Gerencial!N7</f>
        <v>209261.32</v>
      </c>
      <c r="C6" s="18">
        <f>-DRE_Gerencial!O7</f>
        <v>226100.91436479997</v>
      </c>
      <c r="D6" s="18">
        <f t="shared" si="0"/>
        <v>16839.594364799967</v>
      </c>
      <c r="E6" s="27">
        <f t="shared" si="1"/>
        <v>8.0471605382208072E-2</v>
      </c>
      <c r="F6" s="37" t="str">
        <f>IF(D6&lt;=0,"Favorável","Desfavorável")</f>
        <v>Desfavorável</v>
      </c>
      <c r="G6" s="38" t="str">
        <f>IF(D6&lt;=0,"Despesa abaixo do orçamento: validar economia e possíveis postergações.","Despesa acima do orçamento: revisar causa, recorrência e plano de ação.")</f>
        <v>Despesa acima do orçamento: revisar causa, recorrência e plano de ação.</v>
      </c>
      <c r="H6" s="37" t="str">
        <f t="shared" si="2"/>
        <v>Média</v>
      </c>
    </row>
    <row r="7" spans="1:8" ht="28.5">
      <c r="A7" t="s">
        <v>47</v>
      </c>
      <c r="B7" s="18">
        <f>-DRE_Gerencial!N9</f>
        <v>376270.11</v>
      </c>
      <c r="C7" s="18">
        <f>-DRE_Gerencial!O9</f>
        <v>411009.88135357492</v>
      </c>
      <c r="D7" s="18">
        <f t="shared" si="0"/>
        <v>34739.771353574935</v>
      </c>
      <c r="E7" s="27">
        <f t="shared" si="1"/>
        <v>9.2326683492278822E-2</v>
      </c>
      <c r="F7" s="37" t="str">
        <f>IF(D7&lt;=0,"Favorável","Desfavorável")</f>
        <v>Desfavorável</v>
      </c>
      <c r="G7" s="38" t="str">
        <f>IF(D7&lt;=0,"Despesa abaixo do orçamento: validar economia e possíveis postergações.","Despesa acima do orçamento: revisar causa, recorrência e plano de ação.")</f>
        <v>Despesa acima do orçamento: revisar causa, recorrência e plano de ação.</v>
      </c>
      <c r="H7" s="37" t="str">
        <f t="shared" si="2"/>
        <v>Média</v>
      </c>
    </row>
    <row r="8" spans="1:8" ht="28.5">
      <c r="A8" t="s">
        <v>51</v>
      </c>
      <c r="B8" s="18">
        <f>-DRE_Gerencial!N10</f>
        <v>183896.28999999998</v>
      </c>
      <c r="C8" s="18">
        <f>-DRE_Gerencial!O10</f>
        <v>196252.23135758721</v>
      </c>
      <c r="D8" s="18">
        <f t="shared" si="0"/>
        <v>12355.941357587231</v>
      </c>
      <c r="E8" s="27">
        <f t="shared" si="1"/>
        <v>6.7189726109141368E-2</v>
      </c>
      <c r="F8" s="37" t="str">
        <f>IF(D8&lt;=0,"Favorável","Desfavorável")</f>
        <v>Desfavorável</v>
      </c>
      <c r="G8" s="38" t="str">
        <f>IF(D8&lt;=0,"Despesa abaixo do orçamento: validar economia e possíveis postergações.","Despesa acima do orçamento: revisar causa, recorrência e plano de ação.")</f>
        <v>Despesa acima do orçamento: revisar causa, recorrência e plano de ação.</v>
      </c>
      <c r="H8" s="37" t="str">
        <f t="shared" si="2"/>
        <v>Média</v>
      </c>
    </row>
    <row r="9" spans="1:8" ht="28.5">
      <c r="A9" t="s">
        <v>53</v>
      </c>
      <c r="B9" s="18">
        <f>-DRE_Gerencial!N11</f>
        <v>136444.32</v>
      </c>
      <c r="C9" s="18">
        <f>-DRE_Gerencial!O11</f>
        <v>146391.6877234944</v>
      </c>
      <c r="D9" s="18">
        <f t="shared" si="0"/>
        <v>9947.3677234943898</v>
      </c>
      <c r="E9" s="27">
        <f t="shared" si="1"/>
        <v>7.2904227332397487E-2</v>
      </c>
      <c r="F9" s="37" t="str">
        <f>IF(D9&lt;=0,"Favorável","Desfavorável")</f>
        <v>Desfavorável</v>
      </c>
      <c r="G9" s="38" t="str">
        <f>IF(D9&lt;=0,"Despesa abaixo do orçamento: validar economia e possíveis postergações.","Despesa acima do orçamento: revisar causa, recorrência e plano de ação.")</f>
        <v>Despesa acima do orçamento: revisar causa, recorrência e plano de ação.</v>
      </c>
      <c r="H9" s="37" t="str">
        <f t="shared" si="2"/>
        <v>Média</v>
      </c>
    </row>
  </sheetData>
  <mergeCells count="1">
    <mergeCell ref="A1:H1"/>
  </mergeCells>
  <conditionalFormatting sqref="D4:D9">
    <cfRule type="expression" dxfId="8" priority="1">
      <formula>$F4="Desfavorável"</formula>
    </cfRule>
    <cfRule type="expression" dxfId="7" priority="2">
      <formula>$F4="Favorável"</formula>
    </cfRule>
  </conditionalFormatting>
  <conditionalFormatting sqref="H4:H9">
    <cfRule type="expression" dxfId="6" priority="3">
      <formula>H4="Alta"</formula>
    </cfRule>
    <cfRule type="expression" dxfId="5" priority="4">
      <formula>H4="Média"</formula>
    </cfRule>
    <cfRule type="expression" dxfId="4" priority="5">
      <formula>H4="Baixa"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5"/>
  <sheetViews>
    <sheetView showGridLines="0" showRowColHeaders="0" topLeftCell="A20" zoomScale="70" zoomScaleNormal="70" workbookViewId="0">
      <selection activeCell="N17" sqref="N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2" width="13" customWidth="1"/>
    <col min="15" max="15" width="17.125" bestFit="1" customWidth="1"/>
    <col min="16" max="16" width="18.875" bestFit="1" customWidth="1"/>
    <col min="17" max="17" width="18.375" bestFit="1" customWidth="1"/>
    <col min="18" max="18" width="4.625" bestFit="1" customWidth="1"/>
    <col min="19" max="19" width="15.25" bestFit="1" customWidth="1"/>
  </cols>
  <sheetData>
    <row r="1" spans="1:19" ht="20.100000000000001" customHeight="1">
      <c r="A1" s="95" t="s">
        <v>131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9" ht="20.100000000000001" customHeight="1">
      <c r="A2" s="96" t="s">
        <v>132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N2" s="41" t="s">
        <v>1</v>
      </c>
      <c r="O2" s="41" t="s">
        <v>133</v>
      </c>
      <c r="P2" s="41" t="s">
        <v>134</v>
      </c>
      <c r="Q2" s="41" t="s">
        <v>135</v>
      </c>
      <c r="R2" t="s">
        <v>1</v>
      </c>
      <c r="S2" t="s">
        <v>135</v>
      </c>
    </row>
    <row r="3" spans="1:19" ht="20.100000000000001" customHeight="1">
      <c r="N3" t="s">
        <v>7</v>
      </c>
      <c r="O3" s="18">
        <f>Orcado_Forecast!D4+Orcado_Forecast!D5</f>
        <v>82500</v>
      </c>
      <c r="P3" s="18">
        <f>DRE_Gerencial!B6</f>
        <v>82000</v>
      </c>
      <c r="Q3" s="18">
        <f>DRE_Gerencial!B12</f>
        <v>14000</v>
      </c>
      <c r="R3" t="str">
        <f t="shared" ref="R3:R14" si="0">N3</f>
        <v>Jan</v>
      </c>
      <c r="S3" s="11">
        <f t="shared" ref="S3:S14" si="1">Q3</f>
        <v>14000</v>
      </c>
    </row>
    <row r="4" spans="1:19" ht="20.100000000000001" customHeight="1">
      <c r="A4" s="78" t="s">
        <v>136</v>
      </c>
      <c r="B4" s="78"/>
      <c r="C4" s="78" t="s">
        <v>137</v>
      </c>
      <c r="D4" s="78"/>
      <c r="E4" s="78" t="s">
        <v>122</v>
      </c>
      <c r="F4" s="78"/>
      <c r="G4" s="78" t="s">
        <v>138</v>
      </c>
      <c r="H4" s="78"/>
      <c r="I4" s="78" t="s">
        <v>139</v>
      </c>
      <c r="J4" s="78"/>
      <c r="K4" s="78" t="s">
        <v>13</v>
      </c>
      <c r="L4" s="78"/>
      <c r="N4" t="s">
        <v>8</v>
      </c>
      <c r="O4" s="18">
        <f>Orcado_Forecast!D10+Orcado_Forecast!D11</f>
        <v>83822.5</v>
      </c>
      <c r="P4" s="18">
        <f>DRE_Gerencial!C6</f>
        <v>79000</v>
      </c>
      <c r="Q4" s="18">
        <f>DRE_Gerencial!C12</f>
        <v>7000</v>
      </c>
      <c r="R4" t="str">
        <f t="shared" si="0"/>
        <v>Fev</v>
      </c>
      <c r="S4" s="11">
        <f t="shared" si="1"/>
        <v>7000</v>
      </c>
    </row>
    <row r="5" spans="1:19" ht="20.100000000000001" customHeight="1">
      <c r="A5" s="79">
        <f>DRE_Gerencial!O6</f>
        <v>1153513.7028099999</v>
      </c>
      <c r="B5" s="79"/>
      <c r="C5" s="79">
        <f>DRE_Gerencial!O12</f>
        <v>173758.98801054343</v>
      </c>
      <c r="D5" s="79"/>
      <c r="E5" s="80">
        <f>DRE_Gerencial!O13</f>
        <v>0.15063452439902572</v>
      </c>
      <c r="F5" s="80"/>
      <c r="G5" s="79">
        <f>DRE_Gerencial!P12</f>
        <v>-2921.1319894564513</v>
      </c>
      <c r="H5" s="79"/>
      <c r="I5" s="79">
        <f>Resumo_Mensal!G15</f>
        <v>223556.99143000005</v>
      </c>
      <c r="J5" s="79"/>
      <c r="K5" s="81">
        <f>Resumo_Mensal!J15</f>
        <v>6.2677271613234078</v>
      </c>
      <c r="L5" s="81"/>
      <c r="N5" t="s">
        <v>15</v>
      </c>
      <c r="O5" s="18">
        <f>Orcado_Forecast!D16+Orcado_Forecast!D17</f>
        <v>85167.989999999991</v>
      </c>
      <c r="P5" s="18">
        <f>DRE_Gerencial!D6</f>
        <v>91000</v>
      </c>
      <c r="Q5" s="18">
        <f>DRE_Gerencial!D12</f>
        <v>16500</v>
      </c>
      <c r="R5" t="str">
        <f t="shared" si="0"/>
        <v>Mar</v>
      </c>
      <c r="S5" s="11">
        <f t="shared" si="1"/>
        <v>16500</v>
      </c>
    </row>
    <row r="6" spans="1:19" ht="20.100000000000001" customHeight="1">
      <c r="A6" s="79"/>
      <c r="B6" s="79"/>
      <c r="C6" s="79"/>
      <c r="D6" s="79"/>
      <c r="E6" s="80"/>
      <c r="F6" s="80"/>
      <c r="G6" s="79"/>
      <c r="H6" s="79"/>
      <c r="I6" s="79"/>
      <c r="J6" s="79"/>
      <c r="K6" s="81"/>
      <c r="L6" s="81"/>
      <c r="N6" t="s">
        <v>16</v>
      </c>
      <c r="O6" s="18">
        <f>Orcado_Forecast!D22+Orcado_Forecast!D23</f>
        <v>86536.89</v>
      </c>
      <c r="P6" s="18">
        <f>DRE_Gerencial!E6</f>
        <v>87000</v>
      </c>
      <c r="Q6" s="18">
        <f>DRE_Gerencial!E12</f>
        <v>11000</v>
      </c>
      <c r="R6" t="str">
        <f t="shared" si="0"/>
        <v>Abr</v>
      </c>
      <c r="S6" s="11">
        <f t="shared" si="1"/>
        <v>11000</v>
      </c>
    </row>
    <row r="7" spans="1:19" ht="20.100000000000001" customHeight="1">
      <c r="N7" t="s">
        <v>17</v>
      </c>
      <c r="O7" s="18">
        <f>Orcado_Forecast!D28+Orcado_Forecast!D29</f>
        <v>87929.600000000006</v>
      </c>
      <c r="P7" s="18">
        <f>DRE_Gerencial!F6</f>
        <v>94000</v>
      </c>
      <c r="Q7" s="18">
        <f>DRE_Gerencial!F12</f>
        <v>15500</v>
      </c>
      <c r="R7" t="str">
        <f t="shared" si="0"/>
        <v>Mai</v>
      </c>
      <c r="S7" s="11">
        <f t="shared" si="1"/>
        <v>15500</v>
      </c>
    </row>
    <row r="8" spans="1:19" ht="20.100000000000001" customHeight="1">
      <c r="A8" s="82" t="s">
        <v>25</v>
      </c>
      <c r="B8" s="82"/>
      <c r="C8" s="82"/>
      <c r="D8" s="82"/>
      <c r="E8" s="82"/>
      <c r="F8" s="82"/>
      <c r="G8" s="82" t="s">
        <v>140</v>
      </c>
      <c r="H8" s="82"/>
      <c r="I8" s="82"/>
      <c r="J8" s="82"/>
      <c r="K8" s="82"/>
      <c r="L8" s="82"/>
      <c r="N8" t="s">
        <v>18</v>
      </c>
      <c r="O8" s="18">
        <f>Orcado_Forecast!D34+Orcado_Forecast!D35</f>
        <v>89346.559999999998</v>
      </c>
      <c r="P8" s="18">
        <f>DRE_Gerencial!G6</f>
        <v>97000</v>
      </c>
      <c r="Q8" s="18">
        <f>DRE_Gerencial!G12</f>
        <v>15000</v>
      </c>
      <c r="R8" t="str">
        <f t="shared" si="0"/>
        <v>Jun</v>
      </c>
      <c r="S8" s="11">
        <f t="shared" si="1"/>
        <v>15000</v>
      </c>
    </row>
    <row r="9" spans="1:19" ht="20.100000000000001" customHeight="1">
      <c r="A9" s="28" t="s">
        <v>96</v>
      </c>
      <c r="B9" s="27">
        <f>Premissas_V2!B11</f>
        <v>0.18</v>
      </c>
      <c r="G9" s="83" t="s">
        <v>141</v>
      </c>
      <c r="H9" s="83"/>
      <c r="I9" s="83"/>
      <c r="J9" s="83"/>
      <c r="K9" s="84" t="s">
        <v>142</v>
      </c>
      <c r="L9" s="84"/>
      <c r="N9" t="s">
        <v>19</v>
      </c>
      <c r="O9" s="18">
        <f>Orcado_Forecast!D40+Orcado_Forecast!D41</f>
        <v>90788.2</v>
      </c>
      <c r="P9" s="18">
        <f>DRE_Gerencial!H6</f>
        <v>101000</v>
      </c>
      <c r="Q9" s="18">
        <f>DRE_Gerencial!H12</f>
        <v>16500</v>
      </c>
      <c r="R9" t="str">
        <f t="shared" si="0"/>
        <v>Jul</v>
      </c>
      <c r="S9" s="11">
        <f t="shared" si="1"/>
        <v>16500</v>
      </c>
    </row>
    <row r="10" spans="1:19" ht="20.100000000000001" customHeight="1">
      <c r="A10" s="28" t="s">
        <v>143</v>
      </c>
      <c r="B10" s="27">
        <f>DRE_Gerencial!O13</f>
        <v>0.15063452439902572</v>
      </c>
      <c r="G10" s="83" t="s">
        <v>144</v>
      </c>
      <c r="H10" s="83"/>
      <c r="I10" s="83"/>
      <c r="J10" s="83"/>
      <c r="K10" s="84" t="s">
        <v>145</v>
      </c>
      <c r="L10" s="84"/>
      <c r="N10" t="s">
        <v>20</v>
      </c>
      <c r="O10" s="18">
        <f>Orcado_Forecast!D46+Orcado_Forecast!D47</f>
        <v>92254.95</v>
      </c>
      <c r="P10" s="18">
        <f>DRE_Gerencial!I6</f>
        <v>99000</v>
      </c>
      <c r="Q10" s="18">
        <f>DRE_Gerencial!I12</f>
        <v>13000</v>
      </c>
      <c r="R10" t="str">
        <f t="shared" si="0"/>
        <v>Ago</v>
      </c>
      <c r="S10" s="11">
        <f t="shared" si="1"/>
        <v>13000</v>
      </c>
    </row>
    <row r="11" spans="1:19" ht="20.100000000000001" customHeight="1">
      <c r="A11" s="28" t="s">
        <v>146</v>
      </c>
      <c r="B11" s="27">
        <f>DRE_Gerencial!O13-Premissas_V2!B11</f>
        <v>-2.9365475600974272E-2</v>
      </c>
      <c r="G11" s="83" t="s">
        <v>147</v>
      </c>
      <c r="H11" s="83"/>
      <c r="I11" s="83"/>
      <c r="J11" s="83"/>
      <c r="K11" s="84" t="s">
        <v>122</v>
      </c>
      <c r="L11" s="84"/>
      <c r="N11" t="s">
        <v>21</v>
      </c>
      <c r="O11" s="18">
        <f>Orcado_Forecast!D52+Orcado_Forecast!D53</f>
        <v>93747.26</v>
      </c>
      <c r="P11" s="18">
        <f>DRE_Gerencial!J6</f>
        <v>101673</v>
      </c>
      <c r="Q11" s="18">
        <f>DRE_Gerencial!J12</f>
        <v>14271.2</v>
      </c>
      <c r="R11" t="str">
        <f t="shared" si="0"/>
        <v>Set</v>
      </c>
      <c r="S11" s="11">
        <f t="shared" si="1"/>
        <v>14271.2</v>
      </c>
    </row>
    <row r="12" spans="1:19" ht="20.100000000000001" customHeight="1">
      <c r="A12" s="28" t="s">
        <v>148</v>
      </c>
      <c r="B12" s="40">
        <f>Resumo_Mensal!J15</f>
        <v>6.2677271613234078</v>
      </c>
      <c r="N12" t="s">
        <v>22</v>
      </c>
      <c r="O12" s="18">
        <f>Orcado_Forecast!D58+Orcado_Forecast!D59</f>
        <v>95265.590000000011</v>
      </c>
      <c r="P12" s="18">
        <f>DRE_Gerencial!K6</f>
        <v>104423.22</v>
      </c>
      <c r="Q12" s="18">
        <f>DRE_Gerencial!K12</f>
        <v>15596.150600000017</v>
      </c>
      <c r="R12" t="str">
        <f t="shared" si="0"/>
        <v>Out</v>
      </c>
      <c r="S12" s="11">
        <f t="shared" si="1"/>
        <v>15596.150600000017</v>
      </c>
    </row>
    <row r="13" spans="1:19" ht="20.100000000000001" customHeight="1">
      <c r="N13" t="s">
        <v>23</v>
      </c>
      <c r="O13" s="18">
        <f>Orcado_Forecast!D64+Orcado_Forecast!D65</f>
        <v>96810.42</v>
      </c>
      <c r="P13" s="18">
        <f>DRE_Gerencial!L6</f>
        <v>107252.94690000001</v>
      </c>
      <c r="Q13" s="18">
        <f>DRE_Gerencial!L12</f>
        <v>16976.735953400028</v>
      </c>
      <c r="R13" t="str">
        <f t="shared" si="0"/>
        <v>Nov</v>
      </c>
      <c r="S13" s="11">
        <f t="shared" si="1"/>
        <v>16976.735953400028</v>
      </c>
    </row>
    <row r="14" spans="1:19" ht="20.100000000000001" customHeight="1">
      <c r="N14" t="s">
        <v>24</v>
      </c>
      <c r="O14" s="18">
        <f>Orcado_Forecast!D70+Orcado_Forecast!D71</f>
        <v>98382.2</v>
      </c>
      <c r="P14" s="18">
        <f>DRE_Gerencial!M6</f>
        <v>110164.53591000001</v>
      </c>
      <c r="Q14" s="18">
        <f>DRE_Gerencial!M12</f>
        <v>18414.901457143431</v>
      </c>
      <c r="R14" t="str">
        <f t="shared" si="0"/>
        <v>Dez</v>
      </c>
      <c r="S14" s="11">
        <f t="shared" si="1"/>
        <v>18414.901457143431</v>
      </c>
    </row>
    <row r="15" spans="1:19" ht="20.100000000000001" customHeight="1"/>
    <row r="16" spans="1:19" ht="20.100000000000001" customHeight="1"/>
    <row r="17" spans="14:16" ht="20.100000000000001" customHeight="1">
      <c r="N17" t="s">
        <v>34</v>
      </c>
      <c r="O17" t="s">
        <v>149</v>
      </c>
      <c r="P17" t="s">
        <v>150</v>
      </c>
    </row>
    <row r="18" spans="14:16" ht="20.100000000000001" customHeight="1">
      <c r="N18" t="str">
        <f>Analise_Desvios!A4</f>
        <v>Receita Operacional</v>
      </c>
      <c r="O18" s="11">
        <f>Analise_Desvios!D4</f>
        <v>54756.148411499918</v>
      </c>
      <c r="P18" s="25">
        <f>Analise_Desvios!E4</f>
        <v>5.8981740055823011E-2</v>
      </c>
    </row>
    <row r="19" spans="14:16" ht="20.100000000000001" customHeight="1">
      <c r="N19" t="str">
        <f>Analise_Desvios!A5</f>
        <v>Outras Receitas</v>
      </c>
      <c r="O19" s="11">
        <f>Analise_Desvios!D5</f>
        <v>16205.394398499979</v>
      </c>
      <c r="P19" s="25">
        <f>Analise_Desvios!E5</f>
        <v>0.10509707703963285</v>
      </c>
    </row>
    <row r="20" spans="14:16" ht="20.100000000000001" customHeight="1">
      <c r="N20" t="str">
        <f>Analise_Desvios!A6</f>
        <v>Fornecedores</v>
      </c>
      <c r="O20" s="11">
        <f>Analise_Desvios!D6</f>
        <v>16839.594364799967</v>
      </c>
      <c r="P20" s="25">
        <f>Analise_Desvios!E6</f>
        <v>8.0471605382208072E-2</v>
      </c>
    </row>
    <row r="21" spans="14:16" ht="20.100000000000001" customHeight="1">
      <c r="N21" t="str">
        <f>Analise_Desvios!A7</f>
        <v>Pessoal</v>
      </c>
      <c r="O21" s="11">
        <f>Analise_Desvios!D7</f>
        <v>34739.771353574935</v>
      </c>
      <c r="P21" s="25">
        <f>Analise_Desvios!E7</f>
        <v>9.2326683492278822E-2</v>
      </c>
    </row>
    <row r="22" spans="14:16" ht="20.100000000000001" customHeight="1">
      <c r="N22" t="str">
        <f>Analise_Desvios!A8</f>
        <v>Tributos</v>
      </c>
      <c r="O22" s="11">
        <f>Analise_Desvios!D8</f>
        <v>12355.941357587231</v>
      </c>
      <c r="P22" s="25">
        <f>Analise_Desvios!E8</f>
        <v>6.7189726109141368E-2</v>
      </c>
    </row>
    <row r="23" spans="14:16" ht="20.100000000000001" customHeight="1">
      <c r="N23" t="str">
        <f>Analise_Desvios!A9</f>
        <v>Despesas Operacionais</v>
      </c>
      <c r="O23" s="11">
        <f>Analise_Desvios!D9</f>
        <v>9947.3677234943898</v>
      </c>
      <c r="P23" s="25">
        <f>Analise_Desvios!E9</f>
        <v>7.2904227332397487E-2</v>
      </c>
    </row>
    <row r="24" spans="14:16" ht="20.100000000000001" customHeight="1"/>
    <row r="25" spans="14:16" ht="20.100000000000001" customHeight="1"/>
    <row r="26" spans="14:16" ht="20.100000000000001" customHeight="1">
      <c r="N26" t="s">
        <v>1</v>
      </c>
      <c r="O26" t="s">
        <v>151</v>
      </c>
      <c r="P26" t="s">
        <v>5</v>
      </c>
    </row>
    <row r="27" spans="14:16" ht="20.100000000000001" customHeight="1">
      <c r="N27" s="19" t="s">
        <v>7</v>
      </c>
      <c r="O27" s="11">
        <f>Resumo_Mensal!G4</f>
        <v>64000</v>
      </c>
      <c r="P27" s="39">
        <f>Resumo_Mensal!J4</f>
        <v>3.0294117647058822</v>
      </c>
    </row>
    <row r="28" spans="14:16" ht="20.100000000000001" customHeight="1">
      <c r="N28" s="19" t="s">
        <v>8</v>
      </c>
      <c r="O28" s="11">
        <f>Resumo_Mensal!G5</f>
        <v>71000</v>
      </c>
      <c r="P28" s="39">
        <f>Resumo_Mensal!J5</f>
        <v>3.0447530864197532</v>
      </c>
    </row>
    <row r="29" spans="14:16" ht="20.100000000000001" customHeight="1">
      <c r="N29" s="19" t="s">
        <v>15</v>
      </c>
      <c r="O29" s="11">
        <f>Resumo_Mensal!G6</f>
        <v>87500</v>
      </c>
      <c r="P29" s="39">
        <f>Resumo_Mensal!J6</f>
        <v>3.5600298284862042</v>
      </c>
    </row>
    <row r="30" spans="14:16" ht="20.100000000000001" customHeight="1">
      <c r="N30" s="19" t="s">
        <v>16</v>
      </c>
      <c r="O30" s="11">
        <f>Resumo_Mensal!G7</f>
        <v>98500</v>
      </c>
      <c r="P30" s="39">
        <f>Resumo_Mensal!J7</f>
        <v>3.7704678362573101</v>
      </c>
    </row>
    <row r="31" spans="14:16" ht="20.100000000000001" customHeight="1">
      <c r="N31" s="19" t="s">
        <v>17</v>
      </c>
      <c r="O31" s="11">
        <f>Resumo_Mensal!G8</f>
        <v>114000</v>
      </c>
      <c r="P31" s="39">
        <f>Resumo_Mensal!J8</f>
        <v>4.1585279547062983</v>
      </c>
    </row>
    <row r="32" spans="14:16" ht="20.100000000000001" customHeight="1">
      <c r="N32" s="19" t="s">
        <v>18</v>
      </c>
      <c r="O32" s="11">
        <f>Resumo_Mensal!G9</f>
        <v>129000</v>
      </c>
      <c r="P32" s="39">
        <f>Resumo_Mensal!J9</f>
        <v>4.4159891598915992</v>
      </c>
    </row>
    <row r="33" spans="14:16" ht="20.100000000000001" customHeight="1">
      <c r="N33" s="19" t="s">
        <v>19</v>
      </c>
      <c r="O33" s="11">
        <f>Resumo_Mensal!G10</f>
        <v>145500</v>
      </c>
      <c r="P33" s="39">
        <f>Resumo_Mensal!J10</f>
        <v>4.7560815253122941</v>
      </c>
    </row>
    <row r="34" spans="14:16" ht="20.100000000000001" customHeight="1">
      <c r="N34" s="19" t="s">
        <v>20</v>
      </c>
      <c r="O34" s="11">
        <f>Resumo_Mensal!G11</f>
        <v>158500</v>
      </c>
      <c r="P34" s="39">
        <f>Resumo_Mensal!J11</f>
        <v>4.9909560723514215</v>
      </c>
    </row>
    <row r="35" spans="14:16" ht="20.100000000000001" customHeight="1">
      <c r="N35" s="19" t="s">
        <v>21</v>
      </c>
      <c r="O35" s="11">
        <f>Resumo_Mensal!G12</f>
        <v>172750</v>
      </c>
      <c r="P35" s="39">
        <f>Resumo_Mensal!J12</f>
        <v>5.2804250899326135</v>
      </c>
    </row>
    <row r="36" spans="14:16" ht="20.100000000000001" customHeight="1">
      <c r="N36" s="19" t="s">
        <v>22</v>
      </c>
      <c r="O36" s="11">
        <f>Resumo_Mensal!G13</f>
        <v>188304.7</v>
      </c>
      <c r="P36" s="39">
        <f>Resumo_Mensal!J13</f>
        <v>5.5898020985766754</v>
      </c>
    </row>
    <row r="37" spans="14:16" ht="20.100000000000001" customHeight="1">
      <c r="N37" s="19" t="s">
        <v>23</v>
      </c>
      <c r="O37" s="11">
        <f>Resumo_Mensal!G14</f>
        <v>205220.78500000003</v>
      </c>
      <c r="P37" s="39">
        <f>Resumo_Mensal!J14</f>
        <v>5.9189475676172032</v>
      </c>
    </row>
    <row r="38" spans="14:16" ht="20.100000000000001" customHeight="1">
      <c r="N38" s="19" t="s">
        <v>24</v>
      </c>
      <c r="O38" s="11">
        <f>Resumo_Mensal!G15</f>
        <v>223556.99143000005</v>
      </c>
      <c r="P38" s="39">
        <f>Resumo_Mensal!J15</f>
        <v>6.2677271613234078</v>
      </c>
    </row>
    <row r="39" spans="14:16" ht="20.100000000000001" customHeight="1"/>
    <row r="40" spans="14:16" ht="20.100000000000001" customHeight="1"/>
    <row r="41" spans="14:16" ht="20.100000000000001" customHeight="1"/>
    <row r="42" spans="14:16" ht="20.100000000000001" customHeight="1"/>
    <row r="43" spans="14:16" ht="20.100000000000001" customHeight="1"/>
    <row r="44" spans="14:16" ht="20.100000000000001" customHeight="1"/>
    <row r="45" spans="14:16" ht="20.100000000000001" customHeight="1"/>
  </sheetData>
  <mergeCells count="22">
    <mergeCell ref="G11:J11"/>
    <mergeCell ref="K11:L11"/>
    <mergeCell ref="A8:F8"/>
    <mergeCell ref="G8:L8"/>
    <mergeCell ref="G9:J9"/>
    <mergeCell ref="K9:L9"/>
    <mergeCell ref="G10:J10"/>
    <mergeCell ref="K10:L10"/>
    <mergeCell ref="A1:L1"/>
    <mergeCell ref="A2:L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  <mergeCell ref="K4:L4"/>
    <mergeCell ref="K5:L6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800-000001000000}">
            <xm:f>E5&lt;Premissas_V2!$B$11</xm:f>
            <x14:dxf>
              <fill>
                <patternFill>
                  <bgColor rgb="FFFCE4D6"/>
                </patternFill>
              </fill>
            </x14:dxf>
          </x14:cfRule>
          <x14:cfRule type="expression" priority="2" id="{00000000-000E-0000-0800-000002000000}">
            <xm:f>E5&gt;=Premissas_V2!$B$11</xm:f>
            <x14:dxf>
              <fill>
                <patternFill>
                  <bgColor rgb="FFE2F0D9"/>
                </patternFill>
              </fill>
            </x14:dxf>
          </x14:cfRule>
          <xm:sqref>E5:F6</xm:sqref>
        </x14:conditionalFormatting>
        <x14:conditionalFormatting xmlns:xm="http://schemas.microsoft.com/office/excel/2006/main">
          <x14:cfRule type="expression" priority="3" id="{00000000-000E-0000-0800-000003000000}">
            <xm:f>K5&lt;Premissas_V2!$B$12</xm:f>
            <x14:dxf>
              <fill>
                <patternFill>
                  <bgColor rgb="FFFCE4D6"/>
                </patternFill>
              </fill>
            </x14:dxf>
          </x14:cfRule>
          <x14:cfRule type="expression" priority="4" id="{00000000-000E-0000-0800-000004000000}">
            <xm:f>K5&gt;=Premissas_V2!$B$12</xm:f>
            <x14:dxf>
              <fill>
                <patternFill>
                  <bgColor rgb="FFE2F0D9"/>
                </patternFill>
              </fill>
            </x14:dxf>
          </x14:cfRule>
          <xm:sqref>K5:L6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showGridLines="0" showRowColHeaders="0" zoomScale="90" zoomScaleNormal="90" workbookViewId="0">
      <selection activeCell="E18" sqref="E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22" customWidth="1"/>
    <col min="2" max="4" width="16" customWidth="1"/>
    <col min="5" max="5" width="12" customWidth="1"/>
    <col min="6" max="6" width="15" customWidth="1"/>
    <col min="7" max="7" width="22" customWidth="1"/>
    <col min="8" max="8" width="38" customWidth="1"/>
  </cols>
  <sheetData>
    <row r="1" spans="1:8" ht="27.95" customHeight="1">
      <c r="A1" s="85" t="s">
        <v>239</v>
      </c>
      <c r="B1" s="85"/>
      <c r="C1" s="85"/>
      <c r="D1" s="85"/>
      <c r="E1" s="85"/>
      <c r="F1" s="85"/>
      <c r="G1" s="85"/>
      <c r="H1" s="85"/>
    </row>
    <row r="3" spans="1:8" ht="15">
      <c r="A3" s="42" t="s">
        <v>152</v>
      </c>
      <c r="B3" s="42" t="s">
        <v>124</v>
      </c>
      <c r="C3" s="42" t="s">
        <v>125</v>
      </c>
      <c r="D3" s="42" t="s">
        <v>126</v>
      </c>
      <c r="E3" s="42" t="s">
        <v>127</v>
      </c>
      <c r="F3" s="42" t="s">
        <v>128</v>
      </c>
      <c r="G3" s="42" t="s">
        <v>153</v>
      </c>
      <c r="H3" s="42" t="s">
        <v>154</v>
      </c>
    </row>
    <row r="4" spans="1:8">
      <c r="A4" t="s">
        <v>155</v>
      </c>
      <c r="B4" s="45">
        <v>310000</v>
      </c>
      <c r="C4" s="45">
        <v>326000</v>
      </c>
      <c r="D4" s="46">
        <f t="shared" ref="D4:D9" si="0">C4-B4</f>
        <v>16000</v>
      </c>
      <c r="E4" s="47">
        <f t="shared" ref="E4:E9" si="1">IFERROR(D4/B4,0)</f>
        <v>5.1612903225806452E-2</v>
      </c>
      <c r="F4" s="44" t="str">
        <f t="shared" ref="F4:F9" si="2">IF(D4&lt;=0,"Favorável","Desfavorável")</f>
        <v>Desfavorável</v>
      </c>
      <c r="G4" t="s">
        <v>156</v>
      </c>
      <c r="H4" t="s">
        <v>157</v>
      </c>
    </row>
    <row r="5" spans="1:8">
      <c r="A5" t="s">
        <v>158</v>
      </c>
      <c r="B5" s="45">
        <v>148000</v>
      </c>
      <c r="C5" s="45">
        <v>156500</v>
      </c>
      <c r="D5" s="46">
        <f t="shared" si="0"/>
        <v>8500</v>
      </c>
      <c r="E5" s="47">
        <f t="shared" si="1"/>
        <v>5.7432432432432436E-2</v>
      </c>
      <c r="F5" s="44" t="str">
        <f t="shared" si="2"/>
        <v>Desfavorável</v>
      </c>
      <c r="G5" t="s">
        <v>159</v>
      </c>
      <c r="H5" t="s">
        <v>160</v>
      </c>
    </row>
    <row r="6" spans="1:8">
      <c r="A6" t="s">
        <v>161</v>
      </c>
      <c r="B6" s="45">
        <v>205000</v>
      </c>
      <c r="C6" s="45">
        <v>214000</v>
      </c>
      <c r="D6" s="46">
        <f t="shared" si="0"/>
        <v>9000</v>
      </c>
      <c r="E6" s="47">
        <f t="shared" si="1"/>
        <v>4.3902439024390241E-2</v>
      </c>
      <c r="F6" s="44" t="str">
        <f t="shared" si="2"/>
        <v>Desfavorável</v>
      </c>
      <c r="G6" t="s">
        <v>162</v>
      </c>
      <c r="H6" t="s">
        <v>163</v>
      </c>
    </row>
    <row r="7" spans="1:8">
      <c r="A7" t="s">
        <v>164</v>
      </c>
      <c r="B7" s="45">
        <v>112000</v>
      </c>
      <c r="C7" s="45">
        <v>126000</v>
      </c>
      <c r="D7" s="46">
        <f t="shared" si="0"/>
        <v>14000</v>
      </c>
      <c r="E7" s="47">
        <f t="shared" si="1"/>
        <v>0.125</v>
      </c>
      <c r="F7" s="44" t="str">
        <f t="shared" si="2"/>
        <v>Desfavorável</v>
      </c>
      <c r="G7" t="s">
        <v>165</v>
      </c>
      <c r="H7" t="s">
        <v>166</v>
      </c>
    </row>
    <row r="8" spans="1:8">
      <c r="A8" t="s">
        <v>167</v>
      </c>
      <c r="B8" s="45">
        <v>221000</v>
      </c>
      <c r="C8" s="45">
        <v>229000</v>
      </c>
      <c r="D8" s="46">
        <f t="shared" si="0"/>
        <v>8000</v>
      </c>
      <c r="E8" s="47">
        <f t="shared" si="1"/>
        <v>3.6199095022624438E-2</v>
      </c>
      <c r="F8" s="44" t="str">
        <f t="shared" si="2"/>
        <v>Desfavorável</v>
      </c>
      <c r="G8" t="s">
        <v>168</v>
      </c>
      <c r="H8" t="s">
        <v>169</v>
      </c>
    </row>
    <row r="9" spans="1:8">
      <c r="A9" t="s">
        <v>170</v>
      </c>
      <c r="B9" s="45">
        <v>86400</v>
      </c>
      <c r="C9" s="45">
        <v>90200</v>
      </c>
      <c r="D9" s="46">
        <f t="shared" si="0"/>
        <v>3800</v>
      </c>
      <c r="E9" s="47">
        <f t="shared" si="1"/>
        <v>4.3981481481481483E-2</v>
      </c>
      <c r="F9" s="44" t="str">
        <f t="shared" si="2"/>
        <v>Desfavorável</v>
      </c>
      <c r="G9" t="s">
        <v>171</v>
      </c>
      <c r="H9" t="s">
        <v>172</v>
      </c>
    </row>
    <row r="11" spans="1:8" ht="15">
      <c r="A11" s="48" t="s">
        <v>173</v>
      </c>
      <c r="B11" s="49">
        <f>SUM(B4:B9)</f>
        <v>1082400</v>
      </c>
      <c r="C11" s="49">
        <f>SUM(C4:C9)</f>
        <v>1141700</v>
      </c>
      <c r="D11" s="49">
        <f>C11-B11</f>
        <v>59300</v>
      </c>
      <c r="E11" s="50">
        <f>IFERROR(D11/B11,0)</f>
        <v>5.4785661492978567E-2</v>
      </c>
      <c r="F11" s="48"/>
      <c r="G11" s="48"/>
      <c r="H11" s="48"/>
    </row>
  </sheetData>
  <mergeCells count="1">
    <mergeCell ref="A1:H1"/>
  </mergeCells>
  <conditionalFormatting sqref="D4:D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{FEE18B60-BC27-3D1C-1EC6-9B1FF355753A}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E18B60-BC27-3D1C-1EC6-9B1FF355753A}">
            <x14:dataBar>
              <x14:cfvo type="min"/>
              <x14:cfvo type="max"/>
              <x14:negativeFillColor auto="1"/>
              <x14:axisColor auto="1"/>
            </x14:dataBar>
          </x14:cfRule>
          <xm:sqref>D4:D9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showGridLines="0" showRowColHeaders="0" zoomScale="80" zoomScaleNormal="80" workbookViewId="0">
      <selection activeCell="G24" sqref="G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22" customWidth="1"/>
    <col min="2" max="3" width="11" customWidth="1"/>
    <col min="4" max="4" width="13" customWidth="1"/>
    <col min="5" max="5" width="11" customWidth="1"/>
    <col min="6" max="6" width="17" customWidth="1"/>
    <col min="7" max="7" width="18" customWidth="1"/>
    <col min="8" max="8" width="20" customWidth="1"/>
    <col min="9" max="9" width="21" customWidth="1"/>
    <col min="10" max="10" width="12" customWidth="1"/>
  </cols>
  <sheetData>
    <row r="1" spans="1:10" ht="27.95" customHeight="1">
      <c r="A1" s="85" t="s">
        <v>238</v>
      </c>
      <c r="B1" s="85"/>
      <c r="C1" s="85"/>
      <c r="D1" s="85"/>
      <c r="E1" s="85"/>
      <c r="F1" s="85"/>
      <c r="G1" s="85"/>
      <c r="H1" s="85"/>
      <c r="I1" s="85"/>
      <c r="J1" s="85"/>
    </row>
    <row r="3" spans="1:10" ht="30">
      <c r="A3" s="42" t="s">
        <v>174</v>
      </c>
      <c r="B3" s="42" t="s">
        <v>175</v>
      </c>
      <c r="C3" s="42" t="s">
        <v>176</v>
      </c>
      <c r="D3" s="42" t="s">
        <v>177</v>
      </c>
      <c r="E3" s="42" t="s">
        <v>178</v>
      </c>
      <c r="F3" s="42" t="s">
        <v>179</v>
      </c>
      <c r="G3" s="42" t="s">
        <v>180</v>
      </c>
      <c r="H3" s="42" t="s">
        <v>181</v>
      </c>
      <c r="I3" s="42" t="s">
        <v>182</v>
      </c>
      <c r="J3" s="42" t="s">
        <v>127</v>
      </c>
    </row>
    <row r="4" spans="1:10">
      <c r="A4" t="s">
        <v>183</v>
      </c>
      <c r="B4" s="43">
        <v>5</v>
      </c>
      <c r="C4" s="43">
        <v>1</v>
      </c>
      <c r="D4" s="43">
        <v>0</v>
      </c>
      <c r="E4">
        <f>B4+C4-D4</f>
        <v>6</v>
      </c>
      <c r="F4" s="45">
        <v>6200</v>
      </c>
      <c r="G4" s="11">
        <f>E4*F4</f>
        <v>37200</v>
      </c>
      <c r="H4" s="45">
        <v>390000</v>
      </c>
      <c r="I4" s="45">
        <v>405000</v>
      </c>
      <c r="J4" s="25">
        <f>IFERROR(I4/H4-1,0)</f>
        <v>3.8461538461538547E-2</v>
      </c>
    </row>
    <row r="5" spans="1:10">
      <c r="A5" t="s">
        <v>155</v>
      </c>
      <c r="B5" s="43">
        <v>9</v>
      </c>
      <c r="C5" s="43">
        <v>2</v>
      </c>
      <c r="D5" s="43">
        <v>1</v>
      </c>
      <c r="E5">
        <f>B5+C5-D5</f>
        <v>10</v>
      </c>
      <c r="F5" s="45">
        <v>4300</v>
      </c>
      <c r="G5" s="11">
        <f>E5*F5</f>
        <v>43000</v>
      </c>
      <c r="H5" s="45">
        <v>475000</v>
      </c>
      <c r="I5" s="45">
        <v>492000</v>
      </c>
      <c r="J5" s="25">
        <f>IFERROR(I5/H5-1,0)</f>
        <v>3.5789473684210593E-2</v>
      </c>
    </row>
    <row r="6" spans="1:10">
      <c r="A6" t="s">
        <v>158</v>
      </c>
      <c r="B6" s="43">
        <v>6</v>
      </c>
      <c r="C6" s="43">
        <v>1</v>
      </c>
      <c r="D6" s="43">
        <v>0</v>
      </c>
      <c r="E6">
        <f>B6+C6-D6</f>
        <v>7</v>
      </c>
      <c r="F6" s="45">
        <v>5100</v>
      </c>
      <c r="G6" s="11">
        <f>E6*F6</f>
        <v>35700</v>
      </c>
      <c r="H6" s="45">
        <v>382000</v>
      </c>
      <c r="I6" s="45">
        <v>395000</v>
      </c>
      <c r="J6" s="25">
        <f>IFERROR(I6/H6-1,0)</f>
        <v>3.4031413612565453E-2</v>
      </c>
    </row>
    <row r="7" spans="1:10">
      <c r="A7" t="s">
        <v>164</v>
      </c>
      <c r="B7" s="43">
        <v>4</v>
      </c>
      <c r="C7" s="43">
        <v>2</v>
      </c>
      <c r="D7" s="43">
        <v>0</v>
      </c>
      <c r="E7">
        <f>B7+C7-D7</f>
        <v>6</v>
      </c>
      <c r="F7" s="45">
        <v>7800</v>
      </c>
      <c r="G7" s="11">
        <f>E7*F7</f>
        <v>46800</v>
      </c>
      <c r="H7" s="45">
        <v>410000</v>
      </c>
      <c r="I7" s="45">
        <v>445000</v>
      </c>
      <c r="J7" s="25">
        <f>IFERROR(I7/H7-1,0)</f>
        <v>8.5365853658536661E-2</v>
      </c>
    </row>
    <row r="8" spans="1:10">
      <c r="A8" t="s">
        <v>161</v>
      </c>
      <c r="B8" s="43">
        <v>5</v>
      </c>
      <c r="C8" s="43">
        <v>0</v>
      </c>
      <c r="D8" s="43">
        <v>1</v>
      </c>
      <c r="E8">
        <f>B8+C8-D8</f>
        <v>4</v>
      </c>
      <c r="F8" s="45">
        <v>4000</v>
      </c>
      <c r="G8" s="11">
        <f>E8*F8</f>
        <v>16000</v>
      </c>
      <c r="H8" s="45">
        <v>265000</v>
      </c>
      <c r="I8" s="45">
        <v>252000</v>
      </c>
      <c r="J8" s="25">
        <f>IFERROR(I8/H8-1,0)</f>
        <v>-4.9056603773584895E-2</v>
      </c>
    </row>
    <row r="10" spans="1:10" ht="15">
      <c r="A10" s="48" t="s">
        <v>173</v>
      </c>
      <c r="B10" s="48">
        <f>SUM(B4:B8)</f>
        <v>29</v>
      </c>
      <c r="C10" s="48">
        <f>SUM(C4:C8)</f>
        <v>6</v>
      </c>
      <c r="D10" s="48">
        <f>SUM(D4:D8)</f>
        <v>2</v>
      </c>
      <c r="E10" s="48">
        <f>SUM(E4:E8)</f>
        <v>33</v>
      </c>
      <c r="F10" s="48"/>
      <c r="G10" s="49">
        <f>SUM(G4:G8)</f>
        <v>178700</v>
      </c>
      <c r="H10" s="49">
        <f>SUM(H4:H8)</f>
        <v>1922000</v>
      </c>
      <c r="I10" s="49">
        <f>SUM(I4:I8)</f>
        <v>1989000</v>
      </c>
      <c r="J10" s="50">
        <f>IFERROR(I10/H10-1,0)</f>
        <v>3.4859521331945809E-2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showGridLines="0" showRowColHeaders="0" zoomScale="80" zoomScaleNormal="80" workbookViewId="0">
      <selection activeCell="F22" sqref="F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18" customWidth="1"/>
    <col min="2" max="4" width="15" customWidth="1"/>
    <col min="5" max="6" width="18" customWidth="1"/>
    <col min="7" max="7" width="16" customWidth="1"/>
    <col min="8" max="8" width="18" customWidth="1"/>
  </cols>
  <sheetData>
    <row r="1" spans="1:8" ht="27.95" customHeight="1">
      <c r="A1" s="85" t="s">
        <v>184</v>
      </c>
      <c r="B1" s="85"/>
      <c r="C1" s="85"/>
      <c r="D1" s="85"/>
      <c r="E1" s="85"/>
      <c r="F1" s="85"/>
      <c r="G1" s="85"/>
      <c r="H1" s="85"/>
    </row>
    <row r="3" spans="1:8" ht="15">
      <c r="A3" s="42" t="s">
        <v>58</v>
      </c>
      <c r="B3" s="42" t="s">
        <v>185</v>
      </c>
      <c r="C3" s="42" t="s">
        <v>186</v>
      </c>
      <c r="D3" s="42" t="s">
        <v>187</v>
      </c>
      <c r="E3" s="42" t="s">
        <v>188</v>
      </c>
      <c r="F3" s="42" t="s">
        <v>189</v>
      </c>
      <c r="G3" s="42" t="s">
        <v>122</v>
      </c>
      <c r="H3" s="42" t="s">
        <v>12</v>
      </c>
    </row>
    <row r="4" spans="1:8">
      <c r="A4" t="s">
        <v>60</v>
      </c>
      <c r="B4" s="51">
        <v>-0.03</v>
      </c>
      <c r="C4" s="51">
        <v>0.05</v>
      </c>
      <c r="D4" s="51">
        <v>0.04</v>
      </c>
      <c r="E4" s="18">
        <f>DRE_Gerencial!O6*(1+B4)</f>
        <v>1118908.2917256998</v>
      </c>
      <c r="F4" s="18">
        <f>DRE_Gerencial!O12 + (DRE_Gerencial!O6*B4) - ABS(DRE_Gerencial!O7)*C4 - ABS(DRE_Gerencial!O9)*D4</f>
        <v>111408.13595386044</v>
      </c>
      <c r="G4" s="27">
        <f>IFERROR(F4/E4,0)</f>
        <v>9.9568603412559326E-2</v>
      </c>
      <c r="H4" s="18">
        <f>Resumo_Mensal!H15 + F4-DRE_Gerencial!O12</f>
        <v>-23351.971790182986</v>
      </c>
    </row>
    <row r="5" spans="1:8">
      <c r="A5" t="s">
        <v>62</v>
      </c>
      <c r="B5" s="51">
        <v>0</v>
      </c>
      <c r="C5" s="51">
        <v>0</v>
      </c>
      <c r="D5" s="51">
        <v>0</v>
      </c>
      <c r="E5" s="18">
        <f>DRE_Gerencial!O6*(1+B5)</f>
        <v>1153513.7028099999</v>
      </c>
      <c r="F5" s="18">
        <f>DRE_Gerencial!O12 + (DRE_Gerencial!O6*B5) - ABS(DRE_Gerencial!O7)*C5 - ABS(DRE_Gerencial!O9)*D5</f>
        <v>173758.98801054343</v>
      </c>
      <c r="G5" s="27">
        <f>IFERROR(F5/E5,0)</f>
        <v>0.15063452439902572</v>
      </c>
      <c r="H5" s="18">
        <f>Resumo_Mensal!H15 + F5-DRE_Gerencial!O12</f>
        <v>38998.880266499997</v>
      </c>
    </row>
    <row r="6" spans="1:8">
      <c r="A6" t="s">
        <v>64</v>
      </c>
      <c r="B6" s="51">
        <v>0.05</v>
      </c>
      <c r="C6" s="51">
        <v>-0.02</v>
      </c>
      <c r="D6" s="51">
        <v>-0.01</v>
      </c>
      <c r="E6" s="18">
        <f>DRE_Gerencial!O6*(1+B6)</f>
        <v>1211189.3879505</v>
      </c>
      <c r="F6" s="18">
        <f>DRE_Gerencial!O12 + (DRE_Gerencial!O6*B6) - ABS(DRE_Gerencial!O7)*C6 - ABS(DRE_Gerencial!O9)*D6</f>
        <v>240066.79025187518</v>
      </c>
      <c r="G6" s="27">
        <f>IFERROR(F6/E6,0)</f>
        <v>0.19820747493346305</v>
      </c>
      <c r="H6" s="18">
        <f>Resumo_Mensal!H15 + F6-DRE_Gerencial!O12</f>
        <v>105306.68250783175</v>
      </c>
    </row>
    <row r="8" spans="1:8" ht="15">
      <c r="A8" s="52" t="s">
        <v>190</v>
      </c>
      <c r="B8" s="52" t="s">
        <v>107</v>
      </c>
      <c r="C8" s="52" t="s">
        <v>191</v>
      </c>
      <c r="D8" s="52" t="s">
        <v>47</v>
      </c>
      <c r="E8" s="52" t="s">
        <v>192</v>
      </c>
      <c r="F8" s="52" t="s">
        <v>193</v>
      </c>
      <c r="G8" s="52" t="s">
        <v>194</v>
      </c>
      <c r="H8" s="52" t="s">
        <v>195</v>
      </c>
    </row>
    <row r="9" spans="1:8">
      <c r="A9" t="s">
        <v>60</v>
      </c>
      <c r="B9" t="s">
        <v>196</v>
      </c>
      <c r="C9" t="s">
        <v>197</v>
      </c>
      <c r="D9" t="s">
        <v>198</v>
      </c>
      <c r="E9" s="11">
        <f t="shared" ref="E9:H11" si="0">E4</f>
        <v>1118908.2917256998</v>
      </c>
      <c r="F9" s="11">
        <f t="shared" si="0"/>
        <v>111408.13595386044</v>
      </c>
      <c r="G9" s="25">
        <f t="shared" si="0"/>
        <v>9.9568603412559326E-2</v>
      </c>
      <c r="H9" s="11">
        <f t="shared" si="0"/>
        <v>-23351.971790182986</v>
      </c>
    </row>
    <row r="10" spans="1:8">
      <c r="A10" t="s">
        <v>62</v>
      </c>
      <c r="B10" t="s">
        <v>199</v>
      </c>
      <c r="C10" t="s">
        <v>199</v>
      </c>
      <c r="D10" t="s">
        <v>199</v>
      </c>
      <c r="E10" s="11">
        <f t="shared" si="0"/>
        <v>1153513.7028099999</v>
      </c>
      <c r="F10" s="11">
        <f t="shared" si="0"/>
        <v>173758.98801054343</v>
      </c>
      <c r="G10" s="25">
        <f t="shared" si="0"/>
        <v>0.15063452439902572</v>
      </c>
      <c r="H10" s="11">
        <f t="shared" si="0"/>
        <v>38998.880266499997</v>
      </c>
    </row>
    <row r="11" spans="1:8">
      <c r="A11" t="s">
        <v>64</v>
      </c>
      <c r="B11" t="s">
        <v>200</v>
      </c>
      <c r="C11" t="s">
        <v>201</v>
      </c>
      <c r="D11" t="s">
        <v>202</v>
      </c>
      <c r="E11" s="11">
        <f t="shared" si="0"/>
        <v>1211189.3879505</v>
      </c>
      <c r="F11" s="11">
        <f t="shared" si="0"/>
        <v>240066.79025187518</v>
      </c>
      <c r="G11" s="25">
        <f t="shared" si="0"/>
        <v>0.19820747493346305</v>
      </c>
      <c r="H11" s="11">
        <f t="shared" si="0"/>
        <v>105306.68250783175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showGridLines="0" showRowColHeaders="0" zoomScale="80" zoomScaleNormal="8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24" customWidth="1"/>
    <col min="2" max="2" width="22" customWidth="1"/>
    <col min="3" max="3" width="16" customWidth="1"/>
    <col min="4" max="4" width="44" customWidth="1"/>
  </cols>
  <sheetData>
    <row r="1" spans="1:4" ht="27.95" customHeight="1">
      <c r="A1" s="85" t="s">
        <v>203</v>
      </c>
      <c r="B1" s="85"/>
      <c r="C1" s="85"/>
      <c r="D1" s="85"/>
    </row>
    <row r="3" spans="1:4" ht="30">
      <c r="A3" s="42" t="s">
        <v>204</v>
      </c>
      <c r="B3" s="42" t="s">
        <v>205</v>
      </c>
      <c r="C3" s="42" t="s">
        <v>206</v>
      </c>
      <c r="D3" s="42" t="s">
        <v>207</v>
      </c>
    </row>
    <row r="4" spans="1:4" ht="15">
      <c r="A4" s="52" t="s">
        <v>208</v>
      </c>
      <c r="B4" s="53">
        <f>DRE_Gerencial!N12</f>
        <v>176680.11999999988</v>
      </c>
      <c r="C4" s="52" t="s">
        <v>62</v>
      </c>
      <c r="D4" s="52" t="s">
        <v>209</v>
      </c>
    </row>
    <row r="5" spans="1:4">
      <c r="A5" t="s">
        <v>40</v>
      </c>
      <c r="B5" s="18">
        <f>DRE_Gerencial!P4</f>
        <v>54756.148411499918</v>
      </c>
      <c r="C5" t="s">
        <v>210</v>
      </c>
      <c r="D5" t="s">
        <v>211</v>
      </c>
    </row>
    <row r="6" spans="1:4">
      <c r="A6" t="s">
        <v>44</v>
      </c>
      <c r="B6" s="18">
        <f>DRE_Gerencial!P5</f>
        <v>16205.394398499979</v>
      </c>
      <c r="C6" t="s">
        <v>210</v>
      </c>
      <c r="D6" t="s">
        <v>212</v>
      </c>
    </row>
    <row r="7" spans="1:4">
      <c r="A7" t="s">
        <v>49</v>
      </c>
      <c r="B7" s="18">
        <f>-ABS(DRE_Gerencial!P7)</f>
        <v>-16839.594364799967</v>
      </c>
      <c r="C7" t="s">
        <v>213</v>
      </c>
      <c r="D7" t="s">
        <v>214</v>
      </c>
    </row>
    <row r="8" spans="1:4">
      <c r="A8" t="s">
        <v>47</v>
      </c>
      <c r="B8" s="18">
        <f>-ABS(DRE_Gerencial!P9)</f>
        <v>-34739.771353574935</v>
      </c>
      <c r="C8" t="s">
        <v>213</v>
      </c>
      <c r="D8" t="s">
        <v>215</v>
      </c>
    </row>
    <row r="9" spans="1:4">
      <c r="A9" t="s">
        <v>51</v>
      </c>
      <c r="B9" s="18">
        <f>-ABS(DRE_Gerencial!P10)</f>
        <v>-12355.941357587231</v>
      </c>
      <c r="C9" t="s">
        <v>213</v>
      </c>
      <c r="D9" t="s">
        <v>216</v>
      </c>
    </row>
    <row r="10" spans="1:4">
      <c r="A10" t="s">
        <v>53</v>
      </c>
      <c r="B10" s="18">
        <f>-ABS(DRE_Gerencial!P11)</f>
        <v>-9947.3677234943898</v>
      </c>
      <c r="C10" t="s">
        <v>213</v>
      </c>
      <c r="D10" t="s">
        <v>217</v>
      </c>
    </row>
    <row r="11" spans="1:4" ht="15">
      <c r="A11" s="48" t="s">
        <v>135</v>
      </c>
      <c r="B11" s="54">
        <f>DRE_Gerencial!O12</f>
        <v>173758.98801054343</v>
      </c>
      <c r="C11" s="48" t="s">
        <v>218</v>
      </c>
      <c r="D11" s="48" t="s">
        <v>219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4"/>
  <sheetViews>
    <sheetView showGridLines="0" showRowColHeaders="0" zoomScale="60" zoomScaleNormal="60" workbookViewId="0">
      <selection activeCell="P41" sqref="P4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/>
  <cols>
    <col min="1" max="1" width="23" customWidth="1"/>
    <col min="2" max="3" width="16" customWidth="1"/>
    <col min="4" max="4" width="15" customWidth="1"/>
    <col min="5" max="5" width="13" customWidth="1"/>
    <col min="6" max="6" width="15" customWidth="1"/>
    <col min="7" max="8" width="23.875" customWidth="1"/>
    <col min="9" max="9" width="3" customWidth="1"/>
    <col min="10" max="10" width="20" customWidth="1"/>
    <col min="11" max="14" width="11" customWidth="1"/>
    <col min="15" max="15" width="16" customWidth="1"/>
    <col min="16" max="17" width="17" customWidth="1"/>
    <col min="18" max="18" width="13" customWidth="1"/>
  </cols>
  <sheetData>
    <row r="1" spans="1:18" ht="27.95" customHeight="1">
      <c r="A1" s="92" t="s">
        <v>237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18" ht="27.75" customHeight="1">
      <c r="A2" s="93" t="s">
        <v>220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4" spans="1:18" ht="15">
      <c r="A4" s="86" t="s">
        <v>136</v>
      </c>
      <c r="B4" s="86"/>
      <c r="C4" s="86"/>
      <c r="D4" s="86"/>
      <c r="F4" s="86" t="s">
        <v>137</v>
      </c>
      <c r="G4" s="86"/>
      <c r="H4" s="86"/>
      <c r="I4" s="86"/>
      <c r="K4" s="86" t="s">
        <v>122</v>
      </c>
      <c r="L4" s="86"/>
      <c r="M4" s="86"/>
      <c r="N4" s="86"/>
      <c r="P4" s="86" t="s">
        <v>221</v>
      </c>
      <c r="Q4" s="86"/>
      <c r="R4" s="86"/>
    </row>
    <row r="5" spans="1:18">
      <c r="A5" s="87">
        <f>DRE_Gerencial!O6</f>
        <v>1153513.7028099999</v>
      </c>
      <c r="B5" s="87"/>
      <c r="C5" s="87"/>
      <c r="D5" s="87"/>
      <c r="F5" s="87">
        <f>DRE_Gerencial!O12</f>
        <v>173758.98801054343</v>
      </c>
      <c r="G5" s="87"/>
      <c r="H5" s="87"/>
      <c r="I5" s="87"/>
      <c r="K5" s="88">
        <f>DRE_Gerencial!O13</f>
        <v>0.15063452439902572</v>
      </c>
      <c r="L5" s="88"/>
      <c r="M5" s="88"/>
      <c r="N5" s="88"/>
      <c r="P5" s="89">
        <f>Resumo_Mensal!J15</f>
        <v>6.2677271613234078</v>
      </c>
      <c r="Q5" s="89"/>
      <c r="R5" s="89"/>
    </row>
    <row r="6" spans="1:18">
      <c r="A6" s="87"/>
      <c r="B6" s="87"/>
      <c r="C6" s="87"/>
      <c r="D6" s="87"/>
      <c r="F6" s="87"/>
      <c r="G6" s="87"/>
      <c r="H6" s="87"/>
      <c r="I6" s="87"/>
      <c r="K6" s="88"/>
      <c r="L6" s="88"/>
      <c r="M6" s="88"/>
      <c r="N6" s="88"/>
      <c r="P6" s="89"/>
      <c r="Q6" s="89"/>
      <c r="R6" s="89"/>
    </row>
    <row r="7" spans="1:18">
      <c r="A7" s="87"/>
      <c r="B7" s="87"/>
      <c r="C7" s="87"/>
      <c r="D7" s="87"/>
      <c r="F7" s="87"/>
      <c r="G7" s="87"/>
      <c r="H7" s="87"/>
      <c r="I7" s="87"/>
      <c r="K7" s="88"/>
      <c r="L7" s="88"/>
      <c r="M7" s="88"/>
      <c r="N7" s="88"/>
      <c r="P7" s="89"/>
      <c r="Q7" s="89"/>
      <c r="R7" s="89"/>
    </row>
    <row r="10" spans="1:18" ht="30">
      <c r="A10" s="42" t="s">
        <v>58</v>
      </c>
      <c r="B10" s="42" t="s">
        <v>192</v>
      </c>
      <c r="C10" s="42" t="s">
        <v>193</v>
      </c>
      <c r="D10" s="42" t="s">
        <v>122</v>
      </c>
      <c r="E10" s="42" t="s">
        <v>222</v>
      </c>
      <c r="F10" s="42" t="s">
        <v>185</v>
      </c>
      <c r="G10" s="42" t="s">
        <v>186</v>
      </c>
      <c r="H10" s="42" t="s">
        <v>187</v>
      </c>
    </row>
    <row r="11" spans="1:18">
      <c r="A11" s="37" t="str">
        <f>Cenarios!A4</f>
        <v>Conservador</v>
      </c>
      <c r="B11" s="18">
        <f>Cenarios!E4</f>
        <v>1118908.2917256998</v>
      </c>
      <c r="C11" s="18">
        <f>Cenarios!F4</f>
        <v>111408.13595386044</v>
      </c>
      <c r="D11" s="27">
        <f>Cenarios!G4</f>
        <v>9.9568603412559326E-2</v>
      </c>
      <c r="E11" s="18">
        <f>Cenarios!H4</f>
        <v>-23351.971790182986</v>
      </c>
      <c r="F11" s="27">
        <f>Cenarios!B4</f>
        <v>-0.03</v>
      </c>
      <c r="G11" s="27">
        <f>Cenarios!C4</f>
        <v>0.05</v>
      </c>
      <c r="H11" s="27">
        <f>Cenarios!D4</f>
        <v>0.04</v>
      </c>
    </row>
    <row r="12" spans="1:18">
      <c r="A12" s="37" t="str">
        <f>Cenarios!A5</f>
        <v>Base</v>
      </c>
      <c r="B12" s="18">
        <f>Cenarios!E5</f>
        <v>1153513.7028099999</v>
      </c>
      <c r="C12" s="18">
        <f>Cenarios!F5</f>
        <v>173758.98801054343</v>
      </c>
      <c r="D12" s="27">
        <f>Cenarios!G5</f>
        <v>0.15063452439902572</v>
      </c>
      <c r="E12" s="18">
        <f>Cenarios!H5</f>
        <v>38998.880266499997</v>
      </c>
      <c r="F12" s="27">
        <f>Cenarios!B5</f>
        <v>0</v>
      </c>
      <c r="G12" s="27">
        <f>Cenarios!C5</f>
        <v>0</v>
      </c>
      <c r="H12" s="27">
        <f>Cenarios!D5</f>
        <v>0</v>
      </c>
    </row>
    <row r="13" spans="1:18">
      <c r="A13" s="37" t="str">
        <f>Cenarios!A6</f>
        <v>Otimista</v>
      </c>
      <c r="B13" s="18">
        <f>Cenarios!E6</f>
        <v>1211189.3879505</v>
      </c>
      <c r="C13" s="18">
        <f>Cenarios!F6</f>
        <v>240066.79025187518</v>
      </c>
      <c r="D13" s="27">
        <f>Cenarios!G6</f>
        <v>0.19820747493346305</v>
      </c>
      <c r="E13" s="18">
        <f>Cenarios!H6</f>
        <v>105306.68250783175</v>
      </c>
      <c r="F13" s="27">
        <f>Cenarios!B6</f>
        <v>0.05</v>
      </c>
      <c r="G13" s="27">
        <f>Cenarios!C6</f>
        <v>-0.02</v>
      </c>
      <c r="H13" s="27">
        <f>Cenarios!D6</f>
        <v>-0.01</v>
      </c>
    </row>
    <row r="16" spans="1:18" ht="15">
      <c r="A16" s="42" t="s">
        <v>152</v>
      </c>
      <c r="B16" s="42" t="s">
        <v>223</v>
      </c>
      <c r="C16" s="42" t="s">
        <v>144</v>
      </c>
      <c r="D16" s="42" t="s">
        <v>224</v>
      </c>
      <c r="E16" s="42" t="s">
        <v>150</v>
      </c>
      <c r="F16" s="42" t="s">
        <v>128</v>
      </c>
      <c r="J16" s="42" t="s">
        <v>174</v>
      </c>
      <c r="K16" s="42" t="s">
        <v>175</v>
      </c>
      <c r="L16" s="42" t="s">
        <v>176</v>
      </c>
      <c r="M16" s="42" t="s">
        <v>225</v>
      </c>
      <c r="N16" s="42" t="s">
        <v>178</v>
      </c>
      <c r="O16" s="42" t="s">
        <v>226</v>
      </c>
      <c r="P16" s="42" t="s">
        <v>227</v>
      </c>
      <c r="Q16" s="42" t="s">
        <v>228</v>
      </c>
      <c r="R16" s="42" t="s">
        <v>150</v>
      </c>
    </row>
    <row r="17" spans="1:18">
      <c r="A17" s="37" t="str">
        <f>Centro_Custos!A4</f>
        <v>Operações</v>
      </c>
      <c r="B17" s="18">
        <f>Centro_Custos!B4</f>
        <v>310000</v>
      </c>
      <c r="C17" s="18">
        <f>Centro_Custos!C4</f>
        <v>326000</v>
      </c>
      <c r="D17" s="18">
        <f>Centro_Custos!D4</f>
        <v>16000</v>
      </c>
      <c r="E17" s="27">
        <f>Centro_Custos!E4</f>
        <v>5.1612903225806452E-2</v>
      </c>
      <c r="F17" s="37" t="str">
        <f>Centro_Custos!F4</f>
        <v>Desfavorável</v>
      </c>
      <c r="J17" s="37" t="str">
        <f>Headcount!A4</f>
        <v>Finanças</v>
      </c>
      <c r="K17" s="37">
        <f>Headcount!B4</f>
        <v>5</v>
      </c>
      <c r="L17" s="37">
        <f>Headcount!C4</f>
        <v>1</v>
      </c>
      <c r="M17" s="37">
        <f>Headcount!D4</f>
        <v>0</v>
      </c>
      <c r="N17" s="37">
        <f>Headcount!E4</f>
        <v>6</v>
      </c>
      <c r="O17" s="18">
        <f>Headcount!F4</f>
        <v>6200</v>
      </c>
      <c r="P17" s="18">
        <f>Headcount!H4</f>
        <v>390000</v>
      </c>
      <c r="Q17" s="18">
        <f>Headcount!I4</f>
        <v>405000</v>
      </c>
      <c r="R17" s="27">
        <f>Headcount!J4</f>
        <v>3.8461538461538547E-2</v>
      </c>
    </row>
    <row r="18" spans="1:18">
      <c r="A18" s="37" t="str">
        <f>Centro_Custos!A5</f>
        <v>Comercial</v>
      </c>
      <c r="B18" s="18">
        <f>Centro_Custos!B5</f>
        <v>148000</v>
      </c>
      <c r="C18" s="18">
        <f>Centro_Custos!C5</f>
        <v>156500</v>
      </c>
      <c r="D18" s="18">
        <f>Centro_Custos!D5</f>
        <v>8500</v>
      </c>
      <c r="E18" s="27">
        <f>Centro_Custos!E5</f>
        <v>5.7432432432432436E-2</v>
      </c>
      <c r="F18" s="37" t="str">
        <f>Centro_Custos!F5</f>
        <v>Desfavorável</v>
      </c>
      <c r="J18" s="37" t="str">
        <f>Headcount!A5</f>
        <v>Operações</v>
      </c>
      <c r="K18" s="37">
        <f>Headcount!B5</f>
        <v>9</v>
      </c>
      <c r="L18" s="37">
        <f>Headcount!C5</f>
        <v>2</v>
      </c>
      <c r="M18" s="37">
        <f>Headcount!D5</f>
        <v>1</v>
      </c>
      <c r="N18" s="37">
        <f>Headcount!E5</f>
        <v>10</v>
      </c>
      <c r="O18" s="18">
        <f>Headcount!F5</f>
        <v>4300</v>
      </c>
      <c r="P18" s="18">
        <f>Headcount!H5</f>
        <v>475000</v>
      </c>
      <c r="Q18" s="18">
        <f>Headcount!I5</f>
        <v>492000</v>
      </c>
      <c r="R18" s="27">
        <f>Headcount!J5</f>
        <v>3.5789473684210593E-2</v>
      </c>
    </row>
    <row r="19" spans="1:18">
      <c r="A19" s="37" t="str">
        <f>Centro_Custos!A6</f>
        <v>Administrativo</v>
      </c>
      <c r="B19" s="18">
        <f>Centro_Custos!B6</f>
        <v>205000</v>
      </c>
      <c r="C19" s="18">
        <f>Centro_Custos!C6</f>
        <v>214000</v>
      </c>
      <c r="D19" s="18">
        <f>Centro_Custos!D6</f>
        <v>9000</v>
      </c>
      <c r="E19" s="27">
        <f>Centro_Custos!E6</f>
        <v>4.3902439024390241E-2</v>
      </c>
      <c r="F19" s="37" t="str">
        <f>Centro_Custos!F6</f>
        <v>Desfavorável</v>
      </c>
      <c r="J19" s="37" t="str">
        <f>Headcount!A6</f>
        <v>Comercial</v>
      </c>
      <c r="K19" s="37">
        <f>Headcount!B6</f>
        <v>6</v>
      </c>
      <c r="L19" s="37">
        <f>Headcount!C6</f>
        <v>1</v>
      </c>
      <c r="M19" s="37">
        <f>Headcount!D6</f>
        <v>0</v>
      </c>
      <c r="N19" s="37">
        <f>Headcount!E6</f>
        <v>7</v>
      </c>
      <c r="O19" s="18">
        <f>Headcount!F6</f>
        <v>5100</v>
      </c>
      <c r="P19" s="18">
        <f>Headcount!H6</f>
        <v>382000</v>
      </c>
      <c r="Q19" s="18">
        <f>Headcount!I6</f>
        <v>395000</v>
      </c>
      <c r="R19" s="27">
        <f>Headcount!J6</f>
        <v>3.4031413612565453E-2</v>
      </c>
    </row>
    <row r="20" spans="1:18">
      <c r="A20" s="37" t="str">
        <f>Centro_Custos!A7</f>
        <v>Tecnologia &amp; Dados</v>
      </c>
      <c r="B20" s="18">
        <f>Centro_Custos!B7</f>
        <v>112000</v>
      </c>
      <c r="C20" s="18">
        <f>Centro_Custos!C7</f>
        <v>126000</v>
      </c>
      <c r="D20" s="18">
        <f>Centro_Custos!D7</f>
        <v>14000</v>
      </c>
      <c r="E20" s="27">
        <f>Centro_Custos!E7</f>
        <v>0.125</v>
      </c>
      <c r="F20" s="37" t="str">
        <f>Centro_Custos!F7</f>
        <v>Desfavorável</v>
      </c>
      <c r="J20" s="37" t="str">
        <f>Headcount!A7</f>
        <v>Tecnologia &amp; Dados</v>
      </c>
      <c r="K20" s="37">
        <f>Headcount!B7</f>
        <v>4</v>
      </c>
      <c r="L20" s="37">
        <f>Headcount!C7</f>
        <v>2</v>
      </c>
      <c r="M20" s="37">
        <f>Headcount!D7</f>
        <v>0</v>
      </c>
      <c r="N20" s="37">
        <f>Headcount!E7</f>
        <v>6</v>
      </c>
      <c r="O20" s="18">
        <f>Headcount!F7</f>
        <v>7800</v>
      </c>
      <c r="P20" s="18">
        <f>Headcount!H7</f>
        <v>410000</v>
      </c>
      <c r="Q20" s="18">
        <f>Headcount!I7</f>
        <v>445000</v>
      </c>
      <c r="R20" s="27">
        <f>Headcount!J7</f>
        <v>8.5365853658536661E-2</v>
      </c>
    </row>
    <row r="21" spans="1:18">
      <c r="A21" s="37" t="str">
        <f>Centro_Custos!A8</f>
        <v>Pessoas &amp; RH</v>
      </c>
      <c r="B21" s="18">
        <f>Centro_Custos!B8</f>
        <v>221000</v>
      </c>
      <c r="C21" s="18">
        <f>Centro_Custos!C8</f>
        <v>229000</v>
      </c>
      <c r="D21" s="18">
        <f>Centro_Custos!D8</f>
        <v>8000</v>
      </c>
      <c r="E21" s="27">
        <f>Centro_Custos!E8</f>
        <v>3.6199095022624438E-2</v>
      </c>
      <c r="F21" s="37" t="str">
        <f>Centro_Custos!F8</f>
        <v>Desfavorável</v>
      </c>
      <c r="J21" s="37" t="str">
        <f>Headcount!A8</f>
        <v>Administrativo</v>
      </c>
      <c r="K21" s="37">
        <f>Headcount!B8</f>
        <v>5</v>
      </c>
      <c r="L21" s="37">
        <f>Headcount!C8</f>
        <v>0</v>
      </c>
      <c r="M21" s="37">
        <f>Headcount!D8</f>
        <v>1</v>
      </c>
      <c r="N21" s="37">
        <f>Headcount!E8</f>
        <v>4</v>
      </c>
      <c r="O21" s="18">
        <f>Headcount!F8</f>
        <v>4000</v>
      </c>
      <c r="P21" s="18">
        <f>Headcount!H8</f>
        <v>265000</v>
      </c>
      <c r="Q21" s="18">
        <f>Headcount!I8</f>
        <v>252000</v>
      </c>
      <c r="R21" s="27">
        <f>Headcount!J8</f>
        <v>-4.9056603773584895E-2</v>
      </c>
    </row>
    <row r="22" spans="1:18">
      <c r="A22" s="37" t="str">
        <f>Centro_Custos!A9</f>
        <v>Tributário</v>
      </c>
      <c r="B22" s="18">
        <f>Centro_Custos!B9</f>
        <v>86400</v>
      </c>
      <c r="C22" s="18">
        <f>Centro_Custos!C9</f>
        <v>90200</v>
      </c>
      <c r="D22" s="18">
        <f>Centro_Custos!D9</f>
        <v>3800</v>
      </c>
      <c r="E22" s="27">
        <f>Centro_Custos!E9</f>
        <v>4.3981481481481483E-2</v>
      </c>
      <c r="F22" s="37" t="str">
        <f>Centro_Custos!F9</f>
        <v>Desfavorável</v>
      </c>
    </row>
    <row r="26" spans="1:18" ht="15">
      <c r="A26" s="42" t="s">
        <v>229</v>
      </c>
      <c r="B26" s="42" t="s">
        <v>230</v>
      </c>
      <c r="C26" s="42" t="s">
        <v>206</v>
      </c>
      <c r="D26" s="90" t="s">
        <v>190</v>
      </c>
      <c r="E26" s="90"/>
      <c r="F26" s="90"/>
      <c r="J26" s="90" t="s">
        <v>231</v>
      </c>
      <c r="K26" s="90"/>
      <c r="L26" s="90"/>
      <c r="M26" s="90"/>
      <c r="N26" s="90"/>
      <c r="O26" s="90"/>
      <c r="P26" s="90"/>
      <c r="Q26" s="90"/>
      <c r="R26" s="90"/>
    </row>
    <row r="27" spans="1:18">
      <c r="A27" s="37" t="str">
        <f>Ponte_EBITDA!A4</f>
        <v>EBITDA Orçado</v>
      </c>
      <c r="B27" s="18">
        <f>Ponte_EBITDA!B4</f>
        <v>176680.11999999988</v>
      </c>
      <c r="C27" s="37" t="str">
        <f>Ponte_EBITDA!C4</f>
        <v>Base</v>
      </c>
      <c r="D27" s="37" t="str">
        <f>Ponte_EBITDA!D4</f>
        <v>Ponto de partida do orçamento.</v>
      </c>
    </row>
    <row r="28" spans="1:18" ht="30" customHeight="1">
      <c r="A28" s="37" t="str">
        <f>Ponte_EBITDA!A5</f>
        <v>Receita Operacional</v>
      </c>
      <c r="B28" s="18">
        <f>Ponte_EBITDA!B5</f>
        <v>54756.148411499918</v>
      </c>
      <c r="C28" s="37" t="str">
        <f>Ponte_EBITDA!C5</f>
        <v>Favorável</v>
      </c>
      <c r="D28" s="37" t="str">
        <f>Ponte_EBITDA!D5</f>
        <v>Crescimento de receita versus orçamento.</v>
      </c>
      <c r="J28" s="91" t="s">
        <v>232</v>
      </c>
      <c r="K28" s="91"/>
      <c r="L28" s="91"/>
      <c r="M28" s="91"/>
      <c r="N28" s="91"/>
      <c r="O28" s="91"/>
      <c r="P28" s="91"/>
      <c r="Q28" s="91"/>
      <c r="R28" s="91"/>
    </row>
    <row r="29" spans="1:18" ht="30" customHeight="1">
      <c r="A29" s="37" t="str">
        <f>Ponte_EBITDA!A6</f>
        <v>Outras Receitas</v>
      </c>
      <c r="B29" s="18">
        <f>Ponte_EBITDA!B6</f>
        <v>16205.394398499979</v>
      </c>
      <c r="C29" s="37" t="str">
        <f>Ponte_EBITDA!C6</f>
        <v>Favorável</v>
      </c>
      <c r="D29" s="37" t="str">
        <f>Ponte_EBITDA!D6</f>
        <v>Outras receitas acima do plano.</v>
      </c>
      <c r="J29" s="91" t="s">
        <v>233</v>
      </c>
      <c r="K29" s="91"/>
      <c r="L29" s="91"/>
      <c r="M29" s="91"/>
      <c r="N29" s="91"/>
      <c r="O29" s="91"/>
      <c r="P29" s="91"/>
      <c r="Q29" s="91"/>
      <c r="R29" s="91"/>
    </row>
    <row r="30" spans="1:18" ht="30" customHeight="1">
      <c r="A30" s="37" t="str">
        <f>Ponte_EBITDA!A7</f>
        <v>Fornecedores</v>
      </c>
      <c r="B30" s="18">
        <f>Ponte_EBITDA!B7</f>
        <v>-16839.594364799967</v>
      </c>
      <c r="C30" s="37" t="str">
        <f>Ponte_EBITDA!C7</f>
        <v>Desfavorável</v>
      </c>
      <c r="D30" s="37" t="str">
        <f>Ponte_EBITDA!D7</f>
        <v>Pressão de custos diretos.</v>
      </c>
      <c r="J30" s="91" t="s">
        <v>234</v>
      </c>
      <c r="K30" s="91"/>
      <c r="L30" s="91"/>
      <c r="M30" s="91"/>
      <c r="N30" s="91"/>
      <c r="O30" s="91"/>
      <c r="P30" s="91"/>
      <c r="Q30" s="91"/>
      <c r="R30" s="91"/>
    </row>
    <row r="31" spans="1:18" ht="30" customHeight="1">
      <c r="A31" s="37" t="str">
        <f>Ponte_EBITDA!A8</f>
        <v>Pessoal</v>
      </c>
      <c r="B31" s="18">
        <f>Ponte_EBITDA!B8</f>
        <v>-34739.771353574935</v>
      </c>
      <c r="C31" s="37" t="str">
        <f>Ponte_EBITDA!C8</f>
        <v>Desfavorável</v>
      </c>
      <c r="D31" s="37" t="str">
        <f>Ponte_EBITDA!D8</f>
        <v>Custo de pessoal acima do orçamento.</v>
      </c>
      <c r="J31" s="91" t="s">
        <v>235</v>
      </c>
      <c r="K31" s="91"/>
      <c r="L31" s="91"/>
      <c r="M31" s="91"/>
      <c r="N31" s="91"/>
      <c r="O31" s="91"/>
      <c r="P31" s="91"/>
      <c r="Q31" s="91"/>
      <c r="R31" s="91"/>
    </row>
    <row r="32" spans="1:18" ht="30" customHeight="1">
      <c r="A32" s="37" t="str">
        <f>Ponte_EBITDA!A9</f>
        <v>Tributos</v>
      </c>
      <c r="B32" s="18">
        <f>Ponte_EBITDA!B9</f>
        <v>-12355.941357587231</v>
      </c>
      <c r="C32" s="37" t="str">
        <f>Ponte_EBITDA!C9</f>
        <v>Desfavorável</v>
      </c>
      <c r="D32" s="37" t="str">
        <f>Ponte_EBITDA!D9</f>
        <v>Tributos acima do orçamento.</v>
      </c>
      <c r="J32" s="91" t="s">
        <v>236</v>
      </c>
      <c r="K32" s="91"/>
      <c r="L32" s="91"/>
      <c r="M32" s="91"/>
      <c r="N32" s="91"/>
      <c r="O32" s="91"/>
      <c r="P32" s="91"/>
      <c r="Q32" s="91"/>
      <c r="R32" s="91"/>
    </row>
    <row r="33" spans="1:4">
      <c r="A33" s="37" t="str">
        <f>Ponte_EBITDA!A10</f>
        <v>Despesas Operacionais</v>
      </c>
      <c r="B33" s="18">
        <f>Ponte_EBITDA!B10</f>
        <v>-9947.3677234943898</v>
      </c>
      <c r="C33" s="37" t="str">
        <f>Ponte_EBITDA!C10</f>
        <v>Desfavorável</v>
      </c>
      <c r="D33" s="37" t="str">
        <f>Ponte_EBITDA!D10</f>
        <v>Opex acima do orçamento.</v>
      </c>
    </row>
    <row r="34" spans="1:4">
      <c r="A34" s="37" t="str">
        <f>Ponte_EBITDA!A11</f>
        <v>EBITDA Forecast</v>
      </c>
      <c r="B34" s="18">
        <f>Ponte_EBITDA!B11</f>
        <v>173758.98801054343</v>
      </c>
      <c r="C34" s="37" t="str">
        <f>Ponte_EBITDA!C11</f>
        <v>Final</v>
      </c>
      <c r="D34" s="37" t="str">
        <f>Ponte_EBITDA!D11</f>
        <v>EBITDA após incorporação dos principais drivers.</v>
      </c>
    </row>
  </sheetData>
  <mergeCells count="17">
    <mergeCell ref="J32:R32"/>
    <mergeCell ref="D26:F26"/>
    <mergeCell ref="J26:R26"/>
    <mergeCell ref="J28:R28"/>
    <mergeCell ref="J29:R29"/>
    <mergeCell ref="J30:R30"/>
    <mergeCell ref="J31:R31"/>
    <mergeCell ref="A1:R1"/>
    <mergeCell ref="A2:R2"/>
    <mergeCell ref="A4:D4"/>
    <mergeCell ref="A5:D7"/>
    <mergeCell ref="F4:I4"/>
    <mergeCell ref="F5:I7"/>
    <mergeCell ref="K4:N4"/>
    <mergeCell ref="K5:N7"/>
    <mergeCell ref="P4:R4"/>
    <mergeCell ref="P5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Dashboard</vt:lpstr>
      <vt:lpstr>Base_Lancamentos</vt:lpstr>
      <vt:lpstr>Premissas</vt:lpstr>
      <vt:lpstr>Resumo_Mensal</vt:lpstr>
      <vt:lpstr>Premissas_V2</vt:lpstr>
      <vt:lpstr>Orcado_Forecast</vt:lpstr>
      <vt:lpstr>DRE_Gerencial</vt:lpstr>
      <vt:lpstr>Analise_Desvios</vt:lpstr>
      <vt:lpstr>Dashboard_V2</vt:lpstr>
      <vt:lpstr>Centro_Custos</vt:lpstr>
      <vt:lpstr>Headcount</vt:lpstr>
      <vt:lpstr>Cenarios</vt:lpstr>
      <vt:lpstr>Ponte_EBITDA</vt:lpstr>
      <vt:lpstr>Dashboard_V3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Andreia S.</cp:lastModifiedBy>
  <dcterms:modified xsi:type="dcterms:W3CDTF">2026-08-26T23:50:52Z</dcterms:modified>
</cp:coreProperties>
</file>